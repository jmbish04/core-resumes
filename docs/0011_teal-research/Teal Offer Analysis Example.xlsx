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ize Your Offer" sheetId="1" r:id="rId5"/>
    <sheet state="visible" name="Analyze Your Offer" sheetId="2" r:id="rId6"/>
    <sheet state="visible" name="Summarize Your 2nd Offer" sheetId="3" r:id="rId7"/>
    <sheet state="visible" name="Analyze Your 2nd Offer" sheetId="4" r:id="rId8"/>
    <sheet state="visible" name="Compare Your Offers" sheetId="5" r:id="rId9"/>
    <sheet state="hidden" name="Data Validation" sheetId="6" r:id="rId10"/>
  </sheets>
  <definedNames>
    <definedName name="offer_01_benefits_level_02">'Summarize Your Offer'!$K$17:$L$38</definedName>
    <definedName name="offer_01_terms_header">'Summarize Your Offer'!$N$17:$P$19</definedName>
    <definedName name="offer_02_benefits_variable">'Summarize Your 2nd Offer'!$E$17:$F$22</definedName>
    <definedName name="offer_02_terms">'Summarize Your 2nd Offer'!$N$21:$P$27</definedName>
    <definedName name="offer_02_benefits_level_02">'Summarize Your 2nd Offer'!$K$17:$L$38</definedName>
    <definedName name="offer_01_benefits_equity">'Summarize Your Offer'!$E$26:$F$31</definedName>
    <definedName name="offer_01_terms">'Summarize Your Offer'!$N$21:$P$27</definedName>
    <definedName name="offer_02_benefits_level_01">'Summarize Your 2nd Offer'!$H$17:$I$31</definedName>
    <definedName name="offer_01_benefits_variable">'Summarize Your Offer'!$E$17:$F$22</definedName>
    <definedName name="offer_02_terms_header">'Summarize Your 2nd Offer'!$N$17:$P$19</definedName>
    <definedName name="offer_02_benefits_equity">'Summarize Your 2nd Offer'!$E$26:$F$31</definedName>
    <definedName name="offer_01_benefits_level_01">'Summarize Your Offer'!$H$17:$I$31</definedName>
  </definedNames>
  <calcPr/>
</workbook>
</file>

<file path=xl/sharedStrings.xml><?xml version="1.0" encoding="utf-8"?>
<sst xmlns="http://schemas.openxmlformats.org/spreadsheetml/2006/main" count="314" uniqueCount="132">
  <si>
    <t>Copy Tool</t>
  </si>
  <si>
    <t>Summarize Your Offer</t>
  </si>
  <si>
    <t xml:space="preserve"> </t>
  </si>
  <si>
    <r>
      <rPr>
        <rFont val="Poppins"/>
        <color theme="1"/>
      </rPr>
      <t xml:space="preserve">Trying to decide if you should accept a job offer?  Unsure if you should accept, negotiate or decline?  Use this tool to help you understand your full offer and whether or not it's a good fit for your next job.
</t>
    </r>
    <r>
      <rPr>
        <rFont val="Poppins"/>
        <i/>
        <color theme="1"/>
      </rPr>
      <t xml:space="preserve">Complete the offer summary tab by inputting your offer details below.  Fill out the </t>
    </r>
    <r>
      <rPr>
        <rFont val="Poppins"/>
        <b/>
        <i/>
        <color theme="1"/>
      </rPr>
      <t>yellow cells</t>
    </r>
    <r>
      <rPr>
        <rFont val="Poppins"/>
        <i/>
        <color theme="1"/>
      </rPr>
      <t xml:space="preserve"> and </t>
    </r>
    <r>
      <rPr>
        <rFont val="Poppins"/>
        <b/>
        <i/>
        <color theme="1"/>
      </rPr>
      <t>check</t>
    </r>
    <r>
      <rPr>
        <rFont val="Poppins"/>
        <i/>
        <color theme="1"/>
      </rPr>
      <t xml:space="preserve"> </t>
    </r>
    <r>
      <rPr>
        <rFont val="Poppins"/>
        <b/>
        <i/>
        <color theme="1"/>
      </rPr>
      <t>the boxes</t>
    </r>
    <r>
      <rPr>
        <rFont val="Poppins"/>
        <i/>
        <color theme="1"/>
      </rPr>
      <t xml:space="preserve"> from the checklists.</t>
    </r>
  </si>
  <si>
    <t>Cash</t>
  </si>
  <si>
    <t>Variable</t>
  </si>
  <si>
    <t>Benefits - Level 1</t>
  </si>
  <si>
    <t>Benefits - Level 2</t>
  </si>
  <si>
    <t>Terms</t>
  </si>
  <si>
    <t>Gross Offer</t>
  </si>
  <si>
    <t>Performance Bonuses</t>
  </si>
  <si>
    <t>Health Insurance</t>
  </si>
  <si>
    <t>Work From Home</t>
  </si>
  <si>
    <t>Job Title:</t>
  </si>
  <si>
    <t>Marketing Director</t>
  </si>
  <si>
    <r>
      <rPr>
        <rFont val="Poppins"/>
        <i/>
        <color theme="1"/>
      </rPr>
      <t xml:space="preserve">Input your </t>
    </r>
    <r>
      <rPr>
        <rFont val="Poppins"/>
        <b/>
        <i/>
        <color theme="1"/>
      </rPr>
      <t>annual</t>
    </r>
    <r>
      <rPr>
        <rFont val="Poppins"/>
        <i/>
        <color theme="1"/>
      </rPr>
      <t xml:space="preserve"> gross salary only</t>
    </r>
  </si>
  <si>
    <t>Commission</t>
  </si>
  <si>
    <t>Dental Insurance</t>
  </si>
  <si>
    <t>Modified Hours</t>
  </si>
  <si>
    <t>Reporting to:</t>
  </si>
  <si>
    <t>VP, Marketing</t>
  </si>
  <si>
    <t>Annual</t>
  </si>
  <si>
    <t>Hiring Bonus</t>
  </si>
  <si>
    <t>Vision Insurance</t>
  </si>
  <si>
    <t>Tuition Reimbursement</t>
  </si>
  <si>
    <t>Start Date:</t>
  </si>
  <si>
    <t>Monthly</t>
  </si>
  <si>
    <t>Profit Sharing</t>
  </si>
  <si>
    <t>Disability Insurance</t>
  </si>
  <si>
    <t>Childcare Costs</t>
  </si>
  <si>
    <t>Other Example</t>
  </si>
  <si>
    <t>Life Insurance</t>
  </si>
  <si>
    <t>Relocation</t>
  </si>
  <si>
    <t>Non-Compete</t>
  </si>
  <si>
    <t>Net Offer</t>
  </si>
  <si>
    <t>401K</t>
  </si>
  <si>
    <t>Transportation Costs</t>
  </si>
  <si>
    <t>Severance</t>
  </si>
  <si>
    <r>
      <rPr>
        <rFont val="Poppins"/>
        <i/>
        <color rgb="FF1155CC"/>
        <u/>
      </rPr>
      <t>Calculate</t>
    </r>
    <r>
      <rPr>
        <rFont val="Poppins"/>
        <i/>
        <color rgb="FF000000"/>
        <u/>
      </rPr>
      <t xml:space="preserve"> your </t>
    </r>
    <r>
      <rPr>
        <rFont val="Poppins"/>
        <b/>
        <i/>
        <color rgb="FF000000"/>
        <u/>
      </rPr>
      <t xml:space="preserve">annual </t>
    </r>
    <r>
      <rPr>
        <rFont val="Poppins"/>
        <i/>
        <color rgb="FF000000"/>
        <u/>
      </rPr>
      <t>net salary only (you can adjust pay frequency on the left side menu)</t>
    </r>
  </si>
  <si>
    <t>401K Matching</t>
  </si>
  <si>
    <t>Meals</t>
  </si>
  <si>
    <t>Intellectual Property</t>
  </si>
  <si>
    <t>Equity</t>
  </si>
  <si>
    <t>Vacation PTO</t>
  </si>
  <si>
    <t>Gym Membership</t>
  </si>
  <si>
    <t>Sick PTO</t>
  </si>
  <si>
    <t>Cell Phone Reimbursement</t>
  </si>
  <si>
    <t>Stock</t>
  </si>
  <si>
    <t>Parental Leave</t>
  </si>
  <si>
    <t>Expense Account</t>
  </si>
  <si>
    <t>Options</t>
  </si>
  <si>
    <t>Sabaticals</t>
  </si>
  <si>
    <t>RSUs</t>
  </si>
  <si>
    <t>Software Training</t>
  </si>
  <si>
    <t>Vesting</t>
  </si>
  <si>
    <t>On-the-job Training</t>
  </si>
  <si>
    <t>Conferences / Seminars</t>
  </si>
  <si>
    <t>Professional Memberships</t>
  </si>
  <si>
    <t>Licensure</t>
  </si>
  <si>
    <t>Certifications</t>
  </si>
  <si>
    <t>Hardware</t>
  </si>
  <si>
    <t>Internet Reimbursement</t>
  </si>
  <si>
    <t>Company Car</t>
  </si>
  <si>
    <t>HSA / FSA</t>
  </si>
  <si>
    <t>First Class Travel</t>
  </si>
  <si>
    <t>Analyze Your Offer</t>
  </si>
  <si>
    <r>
      <rPr>
        <rFont val="Poppins"/>
        <color theme="1"/>
      </rPr>
      <t xml:space="preserve">Now it's time to look at the cash offered against your expenses and savings goals.
</t>
    </r>
    <r>
      <rPr>
        <rFont val="Poppins"/>
        <i/>
        <color theme="1"/>
      </rPr>
      <t xml:space="preserve">Complete the offer analysis tab by inputting your </t>
    </r>
    <r>
      <rPr>
        <rFont val="Poppins"/>
        <b/>
        <i/>
        <color theme="1"/>
      </rPr>
      <t>monthly expenses</t>
    </r>
    <r>
      <rPr>
        <rFont val="Poppins"/>
        <i/>
        <color theme="1"/>
      </rPr>
      <t xml:space="preserve">, </t>
    </r>
    <r>
      <rPr>
        <rFont val="Poppins"/>
        <b/>
        <i/>
        <color theme="1"/>
      </rPr>
      <t>monthly desired savings</t>
    </r>
    <r>
      <rPr>
        <rFont val="Poppins"/>
        <i/>
        <color theme="1"/>
      </rPr>
      <t xml:space="preserve">, and your </t>
    </r>
    <r>
      <rPr>
        <rFont val="Poppins"/>
        <b/>
        <i/>
        <color theme="1"/>
      </rPr>
      <t>current savings</t>
    </r>
    <r>
      <rPr>
        <rFont val="Poppins"/>
        <i/>
        <color theme="1"/>
      </rPr>
      <t xml:space="preserve"> in the yellow cells below</t>
    </r>
  </si>
  <si>
    <t>Cash Offered</t>
  </si>
  <si>
    <t>Projected Expenses &amp; Savings</t>
  </si>
  <si>
    <t>Cash Runway</t>
  </si>
  <si>
    <t>Offer Analysis</t>
  </si>
  <si>
    <t>Projected Expenses</t>
  </si>
  <si>
    <t>Your Savings</t>
  </si>
  <si>
    <t>Projected Expenses vs Cash Offered</t>
  </si>
  <si>
    <t>Desired Savings vs Cash Offered</t>
  </si>
  <si>
    <r>
      <rPr>
        <rFont val="Poppins"/>
        <i/>
        <color theme="1"/>
      </rPr>
      <t xml:space="preserve">Calculate your </t>
    </r>
    <r>
      <rPr>
        <rFont val="Poppins"/>
        <b/>
        <i/>
        <color theme="1"/>
      </rPr>
      <t>monthly</t>
    </r>
    <r>
      <rPr>
        <rFont val="Poppins"/>
        <i/>
        <color theme="1"/>
      </rPr>
      <t xml:space="preserve"> expenses only</t>
    </r>
  </si>
  <si>
    <r>
      <rPr>
        <rFont val="Poppins"/>
        <i/>
        <color theme="1"/>
      </rPr>
      <t xml:space="preserve">Input your current </t>
    </r>
    <r>
      <rPr>
        <rFont val="Poppins"/>
        <b/>
        <i/>
        <color theme="1"/>
      </rPr>
      <t>savings</t>
    </r>
    <r>
      <rPr>
        <rFont val="Poppins"/>
        <i/>
        <color theme="1"/>
      </rPr>
      <t xml:space="preserve"> only</t>
    </r>
  </si>
  <si>
    <t>Savings</t>
  </si>
  <si>
    <t>Monthly expenses</t>
  </si>
  <si>
    <t>Monthly savings</t>
  </si>
  <si>
    <t>Budget</t>
  </si>
  <si>
    <t>Offer Net</t>
  </si>
  <si>
    <t>Offer Savings</t>
  </si>
  <si>
    <t>Runway</t>
  </si>
  <si>
    <t>Desired Savings</t>
  </si>
  <si>
    <t>$ left after expenses</t>
  </si>
  <si>
    <t>$ left after expenses &amp; savings</t>
  </si>
  <si>
    <r>
      <rPr>
        <rFont val="Poppins"/>
        <i/>
        <color theme="1"/>
      </rPr>
      <t xml:space="preserve">Input your </t>
    </r>
    <r>
      <rPr>
        <rFont val="Poppins"/>
        <b/>
        <i/>
        <color theme="1"/>
      </rPr>
      <t xml:space="preserve">monthly </t>
    </r>
    <r>
      <rPr>
        <rFont val="Poppins"/>
        <i/>
        <color theme="1"/>
      </rPr>
      <t>desired savings only</t>
    </r>
  </si>
  <si>
    <t>Annual expenses</t>
  </si>
  <si>
    <t>Annual savings</t>
  </si>
  <si>
    <r>
      <rPr>
        <rFont val="Poppins"/>
        <color theme="1"/>
      </rPr>
      <t xml:space="preserve">Trying to decide if you should accept a job offer?  Unsure if you should accept, negotiate or decline?  Use this tool to help you understand your full offer and whether or not it's a good fit for your next job.
</t>
    </r>
    <r>
      <rPr>
        <rFont val="Poppins"/>
        <i/>
        <color theme="1"/>
      </rPr>
      <t>Complete the offer summary tab by inputting your offer details below.  Fill out the</t>
    </r>
    <r>
      <rPr>
        <rFont val="Poppins"/>
        <b/>
        <i/>
        <color theme="1"/>
      </rPr>
      <t xml:space="preserve"> yellow cells</t>
    </r>
    <r>
      <rPr>
        <rFont val="Poppins"/>
        <i/>
        <color theme="1"/>
      </rPr>
      <t xml:space="preserve"> and </t>
    </r>
    <r>
      <rPr>
        <rFont val="Poppins"/>
        <b/>
        <i/>
        <color theme="1"/>
      </rPr>
      <t>check the boxes</t>
    </r>
    <r>
      <rPr>
        <rFont val="Poppins"/>
        <i/>
        <color theme="1"/>
      </rPr>
      <t xml:space="preserve"> from the checklists.</t>
    </r>
  </si>
  <si>
    <t>Sr. Marketing Director</t>
  </si>
  <si>
    <r>
      <rPr>
        <rFont val="Poppins"/>
        <i/>
        <color theme="1"/>
      </rPr>
      <t xml:space="preserve">Input your </t>
    </r>
    <r>
      <rPr>
        <rFont val="Poppins"/>
        <b/>
        <i/>
        <color theme="1"/>
      </rPr>
      <t>annual</t>
    </r>
    <r>
      <rPr>
        <rFont val="Poppins"/>
        <i/>
        <color theme="1"/>
      </rPr>
      <t xml:space="preserve"> gross salary only</t>
    </r>
  </si>
  <si>
    <t>CMO</t>
  </si>
  <si>
    <r>
      <rPr>
        <rFont val="Poppins"/>
        <i/>
        <color rgb="FF1155CC"/>
        <u/>
      </rPr>
      <t>Calculate</t>
    </r>
    <r>
      <rPr>
        <rFont val="Poppins"/>
        <i/>
        <color rgb="FF000000"/>
        <u/>
      </rPr>
      <t xml:space="preserve"> your </t>
    </r>
    <r>
      <rPr>
        <rFont val="Poppins"/>
        <b/>
        <i/>
        <color rgb="FF000000"/>
        <u/>
      </rPr>
      <t xml:space="preserve">annual </t>
    </r>
    <r>
      <rPr>
        <rFont val="Poppins"/>
        <i/>
        <color rgb="FF000000"/>
        <u/>
      </rPr>
      <t>net salary only</t>
    </r>
  </si>
  <si>
    <r>
      <rPr>
        <rFont val="Poppins"/>
        <color theme="1"/>
      </rPr>
      <t xml:space="preserve">Now it's time to look at the cash offered against your expenses and savings goals.
</t>
    </r>
    <r>
      <rPr>
        <rFont val="Poppins"/>
        <i/>
        <color theme="1"/>
      </rPr>
      <t xml:space="preserve">This offer analysis tab will </t>
    </r>
    <r>
      <rPr>
        <rFont val="Poppins"/>
        <b/>
        <i/>
        <color theme="1"/>
      </rPr>
      <t>autopopulate</t>
    </r>
    <r>
      <rPr>
        <rFont val="Poppins"/>
        <i/>
        <color theme="1"/>
      </rPr>
      <t xml:space="preserve"> based on your inputs on earlier tabs.  No need to enter anything here</t>
    </r>
  </si>
  <si>
    <t>Compare Your Offers</t>
  </si>
  <si>
    <r>
      <rPr>
        <rFont val="Poppins"/>
        <color theme="1"/>
      </rPr>
      <t xml:space="preserve">If you are debating between 2 offers it might be helpful to compare them side by side.
</t>
    </r>
    <r>
      <rPr>
        <rFont val="Poppins"/>
        <i/>
        <color theme="1"/>
      </rPr>
      <t xml:space="preserve">This offer comparison tab will </t>
    </r>
    <r>
      <rPr>
        <rFont val="Poppins"/>
        <b/>
        <i/>
        <color theme="1"/>
      </rPr>
      <t>autopopulate</t>
    </r>
    <r>
      <rPr>
        <rFont val="Poppins"/>
        <i/>
        <color theme="1"/>
      </rPr>
      <t xml:space="preserve"> based on previous tabs.  Please only complete the </t>
    </r>
    <r>
      <rPr>
        <rFont val="Poppins"/>
        <b/>
        <i/>
        <color theme="1"/>
      </rPr>
      <t>career values</t>
    </r>
    <r>
      <rPr>
        <rFont val="Poppins"/>
        <i/>
        <color theme="1"/>
      </rPr>
      <t xml:space="preserve"> by following the instructions below.  Any benefits that are unique to 1 offer with be bolded in</t>
    </r>
    <r>
      <rPr>
        <rFont val="Poppins"/>
        <b/>
        <i/>
        <color theme="1"/>
      </rPr>
      <t xml:space="preserve"> </t>
    </r>
    <r>
      <rPr>
        <rFont val="Poppins"/>
        <i/>
        <color theme="1"/>
      </rPr>
      <t>green text.</t>
    </r>
  </si>
  <si>
    <t>Offer 1</t>
  </si>
  <si>
    <t>Offer 2</t>
  </si>
  <si>
    <t>CASH</t>
  </si>
  <si>
    <t>EMPLOYMENT TERMS &amp; VALUES</t>
  </si>
  <si>
    <t>Employment Terms</t>
  </si>
  <si>
    <t>Career Values</t>
  </si>
  <si>
    <r>
      <rPr>
        <rFont val="Poppins"/>
        <i/>
        <color rgb="FF000000"/>
        <u/>
      </rPr>
      <t xml:space="preserve">Review your </t>
    </r>
    <r>
      <rPr>
        <rFont val="Poppins"/>
        <i/>
        <color rgb="FF1155CC"/>
        <u/>
      </rPr>
      <t xml:space="preserve">Career Values &amp; Intentions
</t>
    </r>
    <r>
      <rPr>
        <rFont val="Poppins"/>
        <i/>
        <color rgb="FF000000"/>
        <u/>
      </rPr>
      <t>Select your top 3 values from the drop down and confirm whether or not this offer "checks the box"</t>
    </r>
  </si>
  <si>
    <r>
      <rPr>
        <rFont val="Poppins"/>
        <i/>
        <color rgb="FF000000"/>
        <u/>
      </rPr>
      <t xml:space="preserve">Review your </t>
    </r>
    <r>
      <rPr>
        <rFont val="Poppins"/>
        <i/>
        <color rgb="FF1155CC"/>
        <u/>
      </rPr>
      <t xml:space="preserve">Career Values &amp; Intentions
</t>
    </r>
    <r>
      <rPr>
        <rFont val="Poppins"/>
        <i/>
        <color rgb="FF000000"/>
        <u/>
      </rPr>
      <t>Select your top 3 values from the drop down and confirm whether or not this offer "checks the box"</t>
    </r>
  </si>
  <si>
    <t xml:space="preserve"> Additional Terms</t>
  </si>
  <si>
    <t>Autonomy</t>
  </si>
  <si>
    <t>Creativity</t>
  </si>
  <si>
    <t>Team</t>
  </si>
  <si>
    <t>BENEFITS</t>
  </si>
  <si>
    <t>Benefits Level 1</t>
  </si>
  <si>
    <t>Benefits Level 2</t>
  </si>
  <si>
    <t>Values</t>
  </si>
  <si>
    <t>Desciptors</t>
  </si>
  <si>
    <t>Individual Contributor
Independence</t>
  </si>
  <si>
    <t>Balance</t>
  </si>
  <si>
    <t>Hours
Flexibility
Leisure
Family</t>
  </si>
  <si>
    <t>Designing
Creating
Building</t>
  </si>
  <si>
    <t>Growth</t>
  </si>
  <si>
    <t>Challenge
Advancement</t>
  </si>
  <si>
    <t>Impact</t>
  </si>
  <si>
    <t>Mission Driven
Helping Society</t>
  </si>
  <si>
    <t>Income</t>
  </si>
  <si>
    <t>Salary
Benefits
Equity</t>
  </si>
  <si>
    <t>Leadership</t>
  </si>
  <si>
    <t>Management
Influence
Power</t>
  </si>
  <si>
    <t>Learning</t>
  </si>
  <si>
    <t>Soft Skills
Hard Skills 
Knowledge</t>
  </si>
  <si>
    <t>Security</t>
  </si>
  <si>
    <t>Job Market
Industry
In Demand Skills</t>
  </si>
  <si>
    <t>Collaboration
Community
Colleagues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</si>
</sst>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mmm d, yyyy"/>
  </numFmts>
  <fonts count="14">
    <font>
      <sz val="10.0"/>
      <color rgb="FF000000"/>
      <name val="Arial"/>
      <scheme val="minor"/>
    </font>
    <font>
      <color theme="1"/>
      <name val="Poppins"/>
    </font>
    <font/>
    <font>
      <b/>
      <u/>
      <color rgb="FFFFFFFF"/>
      <name val="Poppins"/>
    </font>
    <font>
      <b/>
      <color theme="1"/>
      <name val="Poppins"/>
    </font>
    <font>
      <i/>
      <color theme="1"/>
      <name val="Poppins"/>
    </font>
    <font>
      <i/>
      <u/>
      <color rgb="FF1155CC"/>
      <name val="Poppins"/>
    </font>
    <font>
      <sz val="11.0"/>
      <color rgb="FF000000"/>
      <name val="Poppins"/>
    </font>
    <font>
      <i/>
      <u/>
      <color rgb="FF1155CC"/>
      <name val="Poppins"/>
    </font>
    <font>
      <b/>
      <u/>
      <color rgb="FF1155CC"/>
      <name val="Poppins"/>
    </font>
    <font>
      <sz val="10.0"/>
      <color rgb="FF999999"/>
      <name val="Poppins"/>
    </font>
    <font>
      <color rgb="FF999999"/>
      <name val="Poppins"/>
    </font>
    <font>
      <sz val="11.0"/>
      <color rgb="FF999999"/>
      <name val="Poppins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E9369"/>
        <bgColor rgb="FFBE936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/>
    </xf>
    <xf borderId="11" fillId="0" fontId="4" numFmtId="0" xfId="0" applyAlignment="1" applyBorder="1" applyFont="1">
      <alignment horizontal="center" readingOrder="0"/>
    </xf>
    <xf borderId="12" fillId="0" fontId="2" numFmtId="0" xfId="0" applyBorder="1" applyFont="1"/>
    <xf borderId="0" fillId="2" fontId="1" numFmtId="0" xfId="0" applyFont="1"/>
    <xf borderId="11" fillId="0" fontId="4" numFmtId="0" xfId="0" applyAlignment="1" applyBorder="1" applyFont="1">
      <alignment horizontal="center" readingOrder="0" vertical="bottom"/>
    </xf>
    <xf borderId="13" fillId="0" fontId="2" numFmtId="0" xfId="0" applyBorder="1" applyFont="1"/>
    <xf borderId="11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vertical="bottom"/>
    </xf>
    <xf borderId="3" fillId="4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 vertical="bottom"/>
    </xf>
    <xf borderId="1" fillId="5" fontId="1" numFmtId="0" xfId="0" applyAlignment="1" applyBorder="1" applyFill="1" applyFont="1">
      <alignment readingOrder="0" vertical="bottom"/>
    </xf>
    <xf borderId="14" fillId="6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 vertical="bottom"/>
    </xf>
    <xf borderId="5" fillId="4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vertical="bottom"/>
    </xf>
    <xf borderId="4" fillId="5" fontId="1" numFmtId="0" xfId="0" applyAlignment="1" applyBorder="1" applyFont="1">
      <alignment readingOrder="0" vertical="bottom"/>
    </xf>
    <xf borderId="14" fillId="5" fontId="4" numFmtId="0" xfId="0" applyAlignment="1" applyBorder="1" applyFont="1">
      <alignment readingOrder="0"/>
    </xf>
    <xf borderId="14" fillId="6" fontId="1" numFmtId="164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4" fillId="0" fontId="1" numFmtId="0" xfId="0" applyBorder="1" applyFont="1"/>
    <xf borderId="8" fillId="5" fontId="1" numFmtId="0" xfId="0" applyAlignment="1" applyBorder="1" applyFont="1">
      <alignment readingOrder="0" vertical="bottom"/>
    </xf>
    <xf borderId="14" fillId="6" fontId="1" numFmtId="165" xfId="0" applyAlignment="1" applyBorder="1" applyFont="1" applyNumberFormat="1">
      <alignment horizontal="left" readingOrder="0"/>
    </xf>
    <xf borderId="14" fillId="0" fontId="1" numFmtId="164" xfId="0" applyBorder="1" applyFont="1" applyNumberFormat="1"/>
    <xf borderId="0" fillId="2" fontId="1" numFmtId="0" xfId="0" applyAlignment="1" applyFont="1">
      <alignment readingOrder="0" vertical="bottom"/>
    </xf>
    <xf borderId="4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vertical="bottom"/>
    </xf>
    <xf borderId="10" fillId="4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1" fillId="0" fontId="1" numFmtId="0" xfId="0" applyBorder="1" applyFont="1"/>
    <xf borderId="3" fillId="4" fontId="1" numFmtId="0" xfId="0" applyAlignment="1" applyBorder="1" applyFont="1">
      <alignment horizontal="left" readingOrder="0" vertical="bottom"/>
    </xf>
    <xf borderId="14" fillId="0" fontId="1" numFmtId="164" xfId="0" applyAlignment="1" applyBorder="1" applyFont="1" applyNumberFormat="1">
      <alignment readingOrder="0"/>
    </xf>
    <xf borderId="5" fillId="4" fontId="7" numFmtId="0" xfId="0" applyAlignment="1" applyBorder="1" applyFont="1">
      <alignment horizontal="left" readingOrder="0" vertical="bottom"/>
    </xf>
    <xf borderId="8" fillId="0" fontId="1" numFmtId="0" xfId="0" applyBorder="1" applyFont="1"/>
    <xf borderId="9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left" readingOrder="0" vertical="bottom"/>
    </xf>
    <xf borderId="8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/>
    </xf>
    <xf borderId="0" fillId="2" fontId="1" numFmtId="0" xfId="0" applyAlignment="1" applyFont="1">
      <alignment readingOrder="0"/>
    </xf>
    <xf borderId="14" fillId="0" fontId="1" numFmtId="0" xfId="0" applyAlignment="1" applyBorder="1" applyFont="1">
      <alignment horizontal="right" readingOrder="0"/>
    </xf>
    <xf borderId="6" fillId="5" fontId="4" numFmtId="0" xfId="0" applyAlignment="1" applyBorder="1" applyFont="1">
      <alignment readingOrder="0" shrinkToFit="0" vertical="center" wrapText="1"/>
    </xf>
    <xf borderId="6" fillId="0" fontId="1" numFmtId="164" xfId="0" applyAlignment="1" applyBorder="1" applyFont="1" applyNumberFormat="1">
      <alignment vertical="center"/>
    </xf>
    <xf borderId="6" fillId="5" fontId="4" numFmtId="0" xfId="0" applyAlignment="1" applyBorder="1" applyFont="1">
      <alignment readingOrder="0" shrinkToFit="0" wrapText="1"/>
    </xf>
    <xf borderId="14" fillId="7" fontId="1" numFmtId="164" xfId="0" applyAlignment="1" applyBorder="1" applyFill="1" applyFont="1" applyNumberFormat="1">
      <alignment readingOrder="0"/>
    </xf>
    <xf borderId="6" fillId="5" fontId="4" numFmtId="0" xfId="0" applyAlignment="1" applyBorder="1" applyFont="1">
      <alignment readingOrder="0" vertical="center"/>
    </xf>
    <xf borderId="0" fillId="0" fontId="1" numFmtId="0" xfId="0" applyFont="1"/>
    <xf borderId="11" fillId="5" fontId="1" numFmtId="0" xfId="0" applyAlignment="1" applyBorder="1" applyFont="1">
      <alignment readingOrder="0" vertical="bottom"/>
    </xf>
    <xf borderId="14" fillId="0" fontId="1" numFmtId="0" xfId="0" applyAlignment="1" applyBorder="1" applyFont="1">
      <alignment horizontal="left" readingOrder="0"/>
    </xf>
    <xf borderId="14" fillId="0" fontId="1" numFmtId="165" xfId="0" applyAlignment="1" applyBorder="1" applyFont="1" applyNumberFormat="1">
      <alignment horizontal="left" readingOrder="0"/>
    </xf>
    <xf borderId="11" fillId="0" fontId="8" numFmtId="0" xfId="0" applyAlignment="1" applyBorder="1" applyFont="1">
      <alignment horizontal="center" readingOrder="0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15" fillId="2" fontId="1" numFmtId="0" xfId="0" applyAlignment="1" applyBorder="1" applyFont="1">
      <alignment vertical="bottom"/>
    </xf>
    <xf borderId="11" fillId="5" fontId="9" numFmtId="0" xfId="0" applyAlignment="1" applyBorder="1" applyFont="1">
      <alignment horizontal="center" readingOrder="0"/>
    </xf>
    <xf borderId="15" fillId="2" fontId="1" numFmtId="0" xfId="0" applyBorder="1" applyFont="1"/>
    <xf borderId="6" fillId="5" fontId="4" numFmtId="0" xfId="0" applyAlignment="1" applyBorder="1" applyFont="1">
      <alignment horizontal="center" readingOrder="0" textRotation="90" vertical="center"/>
    </xf>
    <xf borderId="16" fillId="0" fontId="2" numFmtId="0" xfId="0" applyBorder="1" applyFont="1"/>
    <xf borderId="15" fillId="2" fontId="1" numFmtId="0" xfId="0" applyAlignment="1" applyBorder="1" applyFont="1">
      <alignment readingOrder="0"/>
    </xf>
    <xf borderId="11" fillId="0" fontId="1" numFmtId="164" xfId="0" applyAlignment="1" applyBorder="1" applyFont="1" applyNumberFormat="1">
      <alignment readingOrder="0"/>
    </xf>
    <xf borderId="11" fillId="0" fontId="1" numFmtId="164" xfId="0" applyBorder="1" applyFont="1" applyNumberFormat="1"/>
    <xf borderId="1" fillId="0" fontId="1" numFmtId="164" xfId="0" applyAlignment="1" applyBorder="1" applyFont="1" applyNumberFormat="1">
      <alignment vertical="center"/>
    </xf>
    <xf borderId="15" fillId="2" fontId="1" numFmtId="0" xfId="0" applyAlignment="1" applyBorder="1" applyFont="1">
      <alignment readingOrder="0" vertical="center"/>
    </xf>
    <xf borderId="15" fillId="2" fontId="1" numFmtId="0" xfId="0" applyAlignment="1" applyBorder="1" applyFont="1">
      <alignment vertical="center"/>
    </xf>
    <xf borderId="14" fillId="5" fontId="4" numFmtId="0" xfId="0" applyAlignment="1" applyBorder="1" applyFont="1">
      <alignment readingOrder="0" vertical="bottom"/>
    </xf>
    <xf borderId="14" fillId="4" fontId="1" numFmtId="0" xfId="0" applyAlignment="1" applyBorder="1" applyFont="1">
      <alignment horizontal="left" readingOrder="0" vertical="bottom"/>
    </xf>
    <xf borderId="14" fillId="4" fontId="1" numFmtId="165" xfId="0" applyAlignment="1" applyBorder="1" applyFont="1" applyNumberFormat="1">
      <alignment horizontal="left" readingOrder="0" vertical="bottom"/>
    </xf>
    <xf borderId="1" fillId="6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vertical="center"/>
    </xf>
    <xf borderId="6" fillId="4" fontId="1" numFmtId="0" xfId="0" applyAlignment="1" applyBorder="1" applyFont="1">
      <alignment readingOrder="0" vertical="center"/>
    </xf>
    <xf borderId="4" fillId="4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 shrinkToFit="0" vertical="top" wrapText="0"/>
    </xf>
    <xf borderId="4" fillId="0" fontId="10" numFmtId="0" xfId="0" applyAlignment="1" applyBorder="1" applyFont="1">
      <alignment horizontal="center" shrinkToFit="0" wrapText="0"/>
    </xf>
    <xf borderId="8" fillId="0" fontId="10" numFmtId="0" xfId="0" applyAlignment="1" applyBorder="1" applyFont="1">
      <alignment horizontal="center" shrinkToFit="0" vertical="top" wrapText="0"/>
    </xf>
    <xf borderId="14" fillId="0" fontId="5" numFmtId="0" xfId="0" applyAlignment="1" applyBorder="1" applyFont="1">
      <alignment horizontal="center" readingOrder="0"/>
    </xf>
    <xf borderId="0" fillId="2" fontId="5" numFmtId="0" xfId="0" applyAlignment="1" applyFont="1">
      <alignment horizontal="left" vertical="bottom"/>
    </xf>
    <xf borderId="11" fillId="0" fontId="5" numFmtId="0" xfId="0" applyAlignment="1" applyBorder="1" applyFont="1">
      <alignment horizontal="center" readingOrder="0" vertical="bottom"/>
    </xf>
    <xf borderId="15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14" fillId="0" fontId="5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shrinkToFit="0" vertical="top" wrapText="0"/>
    </xf>
    <xf borderId="6" fillId="0" fontId="11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16" fillId="0" fontId="11" numFmtId="0" xfId="0" applyAlignment="1" applyBorder="1" applyFont="1">
      <alignment horizontal="center" shrinkToFit="0" vertical="top" wrapText="0"/>
    </xf>
    <xf borderId="16" fillId="0" fontId="11" numFmtId="0" xfId="0" applyAlignment="1" applyBorder="1" applyFont="1">
      <alignment horizontal="center" shrinkToFit="0" vertical="bottom" wrapText="0"/>
    </xf>
    <xf borderId="4" fillId="0" fontId="11" numFmtId="0" xfId="0" applyAlignment="1" applyBorder="1" applyFont="1">
      <alignment horizontal="center" shrinkToFit="0" vertical="bottom" wrapText="0"/>
    </xf>
    <xf borderId="16" fillId="0" fontId="12" numFmtId="0" xfId="0" applyAlignment="1" applyBorder="1" applyFont="1">
      <alignment horizontal="center" shrinkToFit="0" wrapText="0"/>
    </xf>
    <xf borderId="7" fillId="0" fontId="11" numFmtId="0" xfId="0" applyAlignment="1" applyBorder="1" applyFont="1">
      <alignment horizontal="center" shrinkToFit="0" vertical="top" wrapText="0"/>
    </xf>
    <xf borderId="7" fillId="0" fontId="11" numFmtId="0" xfId="0" applyAlignment="1" applyBorder="1" applyFont="1">
      <alignment horizontal="center" shrinkToFit="0" vertical="bottom" wrapText="0"/>
    </xf>
    <xf borderId="8" fillId="0" fontId="11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  <color rgb="FFBE936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8286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8286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82867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8286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19075" cy="476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SFcZRoFHMXcWF-T1e3T3ckdIgFgh7FEofwGXnniWSA/copy" TargetMode="External"/><Relationship Id="rId2" Type="http://schemas.openxmlformats.org/officeDocument/2006/relationships/hyperlink" Target="https://smartasset.com/taxes/paycheck-calculator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SFcZRoFHMXcWF-T1e3T3ckdIgFgh7FEofwGXnniWSA/copy" TargetMode="External"/><Relationship Id="rId2" Type="http://schemas.openxmlformats.org/officeDocument/2006/relationships/hyperlink" Target="https://smartasset.com/taxes/paycheck-calculator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H2Ust_uHm5J2T-UqUzprKNMh3Hs4AZ6ELFz0N1kayQ/edit?usp=sharing" TargetMode="External"/><Relationship Id="rId2" Type="http://schemas.openxmlformats.org/officeDocument/2006/relationships/hyperlink" Target="https://docs.google.com/spreadsheets/d/1TH2Ust_uHm5J2T-UqUzprKNMh3Hs4AZ6ELFz0N1kayQ/edit?usp=sharing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3.25"/>
    <col customWidth="1" min="3" max="3" width="16.5"/>
    <col customWidth="1" min="5" max="5" width="4.88"/>
    <col customWidth="1" min="6" max="6" width="17.13"/>
    <col customWidth="1" min="8" max="8" width="4.88"/>
    <col customWidth="1" min="9" max="9" width="15.13"/>
    <col customWidth="1" min="11" max="11" width="5.38"/>
    <col customWidth="1" min="12" max="12" width="20.88"/>
    <col customWidth="1" min="14" max="14" width="4.5"/>
    <col customWidth="1" min="15" max="15" width="6.38"/>
    <col customWidth="1" min="16" max="16" width="15.38"/>
    <col customWidth="1" min="17" max="17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1"/>
      <c r="R2" s="1"/>
    </row>
    <row r="3">
      <c r="A3" s="1"/>
      <c r="B3" s="5"/>
      <c r="P3" s="6"/>
      <c r="Q3" s="1"/>
      <c r="R3" s="7" t="s">
        <v>0</v>
      </c>
    </row>
    <row r="4">
      <c r="A4" s="1"/>
      <c r="B4" s="5"/>
      <c r="P4" s="6"/>
      <c r="Q4" s="1"/>
      <c r="R4" s="8"/>
    </row>
    <row r="5">
      <c r="A5" s="1"/>
      <c r="B5" s="5"/>
      <c r="P5" s="6"/>
      <c r="Q5" s="1"/>
      <c r="R5" s="1"/>
    </row>
    <row r="6">
      <c r="A6" s="1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  <c r="Q6" s="1"/>
      <c r="R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2" t="s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1"/>
      <c r="R8" s="1"/>
    </row>
    <row r="9">
      <c r="A9" s="1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  <c r="Q9" s="1"/>
      <c r="R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 t="s">
        <v>2</v>
      </c>
      <c r="L10" s="1"/>
      <c r="M10" s="1"/>
      <c r="N10" s="1"/>
      <c r="O10" s="1"/>
      <c r="P10" s="1"/>
      <c r="Q10" s="1"/>
      <c r="R10" s="1"/>
    </row>
    <row r="11">
      <c r="A11" s="1"/>
      <c r="B11" s="13" t="s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1"/>
      <c r="R11" s="1"/>
    </row>
    <row r="12">
      <c r="A12" s="1"/>
      <c r="B12" s="5"/>
      <c r="P12" s="6"/>
      <c r="Q12" s="1"/>
      <c r="R12" s="1"/>
    </row>
    <row r="13">
      <c r="A13" s="1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  <c r="Q13" s="1"/>
      <c r="R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4" t="s">
        <v>4</v>
      </c>
      <c r="C15" s="15"/>
      <c r="D15" s="16"/>
      <c r="E15" s="17" t="s">
        <v>5</v>
      </c>
      <c r="F15" s="15"/>
      <c r="G15" s="16"/>
      <c r="H15" s="14" t="s">
        <v>6</v>
      </c>
      <c r="I15" s="15"/>
      <c r="J15" s="16"/>
      <c r="K15" s="14" t="s">
        <v>7</v>
      </c>
      <c r="L15" s="15"/>
      <c r="M15" s="16"/>
      <c r="N15" s="14" t="s">
        <v>8</v>
      </c>
      <c r="O15" s="18"/>
      <c r="P15" s="15"/>
      <c r="Q15" s="1"/>
      <c r="R15" s="1"/>
    </row>
    <row r="16">
      <c r="A16" s="1"/>
      <c r="B16" s="1"/>
      <c r="C16" s="1"/>
      <c r="D16" s="1"/>
      <c r="E16" s="1"/>
      <c r="F16" s="1" t="s">
        <v>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9" t="s">
        <v>9</v>
      </c>
      <c r="C17" s="15"/>
      <c r="D17" s="1"/>
      <c r="E17" s="20" t="b">
        <v>0</v>
      </c>
      <c r="F17" s="21" t="s">
        <v>10</v>
      </c>
      <c r="G17" s="1"/>
      <c r="H17" s="22" t="b">
        <v>1</v>
      </c>
      <c r="I17" s="23" t="s">
        <v>11</v>
      </c>
      <c r="J17" s="1"/>
      <c r="K17" s="22" t="b">
        <v>1</v>
      </c>
      <c r="L17" s="23" t="s">
        <v>12</v>
      </c>
      <c r="M17" s="1"/>
      <c r="N17" s="24" t="s">
        <v>13</v>
      </c>
      <c r="O17" s="3"/>
      <c r="P17" s="25" t="s">
        <v>14</v>
      </c>
      <c r="Q17" s="1"/>
      <c r="R17" s="1"/>
    </row>
    <row r="18">
      <c r="A18" s="1"/>
      <c r="B18" s="19" t="s">
        <v>15</v>
      </c>
      <c r="C18" s="15"/>
      <c r="D18" s="1"/>
      <c r="E18" s="26" t="b">
        <v>1</v>
      </c>
      <c r="F18" s="27" t="s">
        <v>16</v>
      </c>
      <c r="G18" s="1"/>
      <c r="H18" s="28" t="b">
        <v>1</v>
      </c>
      <c r="I18" s="29" t="s">
        <v>17</v>
      </c>
      <c r="J18" s="1"/>
      <c r="K18" s="28" t="b">
        <v>1</v>
      </c>
      <c r="L18" s="29" t="s">
        <v>18</v>
      </c>
      <c r="M18" s="1"/>
      <c r="N18" s="30" t="s">
        <v>19</v>
      </c>
      <c r="P18" s="25" t="s">
        <v>20</v>
      </c>
      <c r="Q18" s="1"/>
      <c r="R18" s="1"/>
    </row>
    <row r="19">
      <c r="A19" s="1"/>
      <c r="B19" s="31" t="s">
        <v>21</v>
      </c>
      <c r="C19" s="32">
        <v>100000.0</v>
      </c>
      <c r="D19" s="1"/>
      <c r="E19" s="26" t="b">
        <v>1</v>
      </c>
      <c r="F19" s="27" t="s">
        <v>22</v>
      </c>
      <c r="G19" s="1"/>
      <c r="H19" s="28" t="b">
        <v>1</v>
      </c>
      <c r="I19" s="33" t="s">
        <v>23</v>
      </c>
      <c r="J19" s="1"/>
      <c r="K19" s="34" t="b">
        <v>0</v>
      </c>
      <c r="L19" s="29" t="s">
        <v>24</v>
      </c>
      <c r="M19" s="1"/>
      <c r="N19" s="35" t="s">
        <v>25</v>
      </c>
      <c r="O19" s="10"/>
      <c r="P19" s="36">
        <v>44044.0</v>
      </c>
      <c r="Q19" s="1"/>
      <c r="R19" s="1"/>
    </row>
    <row r="20">
      <c r="A20" s="1"/>
      <c r="B20" s="31" t="s">
        <v>26</v>
      </c>
      <c r="C20" s="37">
        <f>C19/12</f>
        <v>8333.333333</v>
      </c>
      <c r="D20" s="38"/>
      <c r="E20" s="39" t="b">
        <v>0</v>
      </c>
      <c r="F20" s="27" t="s">
        <v>27</v>
      </c>
      <c r="G20" s="1"/>
      <c r="H20" s="28" t="b">
        <v>0</v>
      </c>
      <c r="I20" s="33" t="s">
        <v>28</v>
      </c>
      <c r="J20" s="1"/>
      <c r="K20" s="34" t="b">
        <v>0</v>
      </c>
      <c r="L20" s="29" t="s">
        <v>29</v>
      </c>
      <c r="M20" s="1"/>
      <c r="N20" s="1"/>
      <c r="O20" s="1"/>
      <c r="P20" s="1"/>
      <c r="Q20" s="1"/>
      <c r="R20" s="1"/>
    </row>
    <row r="21">
      <c r="A21" s="1"/>
      <c r="B21" s="1"/>
      <c r="C21" s="1"/>
      <c r="D21" s="1"/>
      <c r="E21" s="26" t="b">
        <v>1</v>
      </c>
      <c r="F21" s="27" t="s">
        <v>30</v>
      </c>
      <c r="G21" s="1"/>
      <c r="H21" s="28" t="b">
        <v>0</v>
      </c>
      <c r="I21" s="29" t="s">
        <v>31</v>
      </c>
      <c r="J21" s="1"/>
      <c r="K21" s="34" t="b">
        <v>0</v>
      </c>
      <c r="L21" s="29" t="s">
        <v>32</v>
      </c>
      <c r="M21" s="1"/>
      <c r="N21" s="22" t="b">
        <v>1</v>
      </c>
      <c r="O21" s="40" t="s">
        <v>33</v>
      </c>
      <c r="P21" s="4"/>
      <c r="Q21" s="1"/>
      <c r="R21" s="1"/>
    </row>
    <row r="22">
      <c r="A22" s="1"/>
      <c r="B22" s="19" t="s">
        <v>34</v>
      </c>
      <c r="C22" s="15"/>
      <c r="D22" s="1"/>
      <c r="E22" s="41" t="b">
        <v>0</v>
      </c>
      <c r="F22" s="42"/>
      <c r="G22" s="1"/>
      <c r="H22" s="28" t="b">
        <v>1</v>
      </c>
      <c r="I22" s="29" t="s">
        <v>35</v>
      </c>
      <c r="J22" s="1"/>
      <c r="K22" s="34" t="b">
        <v>0</v>
      </c>
      <c r="L22" s="29" t="s">
        <v>36</v>
      </c>
      <c r="M22" s="1"/>
      <c r="N22" s="34" t="b">
        <v>0</v>
      </c>
      <c r="O22" s="43" t="s">
        <v>37</v>
      </c>
      <c r="P22" s="6"/>
      <c r="Q22" s="1"/>
      <c r="R22" s="1"/>
    </row>
    <row r="23">
      <c r="A23" s="1"/>
      <c r="B23" s="44" t="s">
        <v>38</v>
      </c>
      <c r="C23" s="4"/>
      <c r="D23" s="1"/>
      <c r="E23" s="1"/>
      <c r="F23" s="1"/>
      <c r="G23" s="1"/>
      <c r="H23" s="28" t="b">
        <v>0</v>
      </c>
      <c r="I23" s="29" t="s">
        <v>39</v>
      </c>
      <c r="J23" s="1"/>
      <c r="K23" s="34" t="b">
        <v>0</v>
      </c>
      <c r="L23" s="29" t="s">
        <v>40</v>
      </c>
      <c r="M23" s="1"/>
      <c r="N23" s="28" t="b">
        <v>1</v>
      </c>
      <c r="O23" s="43" t="s">
        <v>41</v>
      </c>
      <c r="P23" s="6"/>
      <c r="Q23" s="1"/>
      <c r="R23" s="1"/>
    </row>
    <row r="24">
      <c r="A24" s="1"/>
      <c r="B24" s="5"/>
      <c r="C24" s="6"/>
      <c r="D24" s="1"/>
      <c r="E24" s="14" t="s">
        <v>42</v>
      </c>
      <c r="F24" s="15"/>
      <c r="G24" s="1"/>
      <c r="H24" s="28" t="b">
        <v>0</v>
      </c>
      <c r="I24" s="29" t="s">
        <v>43</v>
      </c>
      <c r="J24" s="1"/>
      <c r="K24" s="28" t="b">
        <v>1</v>
      </c>
      <c r="L24" s="29" t="s">
        <v>44</v>
      </c>
      <c r="M24" s="1"/>
      <c r="N24" s="34" t="b">
        <v>0</v>
      </c>
      <c r="O24" s="45"/>
      <c r="P24" s="6"/>
      <c r="Q24" s="1"/>
      <c r="R24" s="1"/>
    </row>
    <row r="25">
      <c r="A25" s="1"/>
      <c r="B25" s="9"/>
      <c r="C25" s="11"/>
      <c r="D25" s="38"/>
      <c r="E25" s="1"/>
      <c r="F25" s="1" t="s">
        <v>2</v>
      </c>
      <c r="G25" s="1"/>
      <c r="H25" s="28" t="b">
        <v>1</v>
      </c>
      <c r="I25" s="29" t="s">
        <v>45</v>
      </c>
      <c r="J25" s="1"/>
      <c r="K25" s="28" t="b">
        <v>0</v>
      </c>
      <c r="L25" s="29" t="s">
        <v>46</v>
      </c>
      <c r="M25" s="1"/>
      <c r="N25" s="34" t="b">
        <v>0</v>
      </c>
      <c r="O25" s="46"/>
      <c r="P25" s="6"/>
      <c r="Q25" s="1"/>
      <c r="R25" s="1"/>
    </row>
    <row r="26">
      <c r="A26" s="1"/>
      <c r="B26" s="31" t="s">
        <v>21</v>
      </c>
      <c r="C26" s="32">
        <v>66905.0</v>
      </c>
      <c r="D26" s="1"/>
      <c r="E26" s="47" t="b">
        <v>0</v>
      </c>
      <c r="F26" s="48" t="s">
        <v>47</v>
      </c>
      <c r="G26" s="1"/>
      <c r="H26" s="28" t="b">
        <v>1</v>
      </c>
      <c r="I26" s="29" t="s">
        <v>48</v>
      </c>
      <c r="J26" s="1"/>
      <c r="K26" s="34" t="b">
        <v>0</v>
      </c>
      <c r="L26" s="29" t="s">
        <v>49</v>
      </c>
      <c r="M26" s="1"/>
      <c r="N26" s="34" t="b">
        <v>0</v>
      </c>
      <c r="O26" s="46"/>
      <c r="P26" s="6"/>
      <c r="Q26" s="1"/>
      <c r="R26" s="1"/>
    </row>
    <row r="27">
      <c r="A27" s="1"/>
      <c r="B27" s="31" t="s">
        <v>26</v>
      </c>
      <c r="C27" s="49">
        <f>C26/12</f>
        <v>5575.416667</v>
      </c>
      <c r="D27" s="1"/>
      <c r="E27" s="28" t="b">
        <v>1</v>
      </c>
      <c r="F27" s="50" t="s">
        <v>50</v>
      </c>
      <c r="G27" s="1"/>
      <c r="H27" s="28" t="b">
        <v>0</v>
      </c>
      <c r="I27" s="29"/>
      <c r="J27" s="1"/>
      <c r="K27" s="28" t="b">
        <v>1</v>
      </c>
      <c r="L27" s="29" t="s">
        <v>51</v>
      </c>
      <c r="M27" s="1"/>
      <c r="N27" s="51" t="b">
        <v>0</v>
      </c>
      <c r="O27" s="52"/>
      <c r="P27" s="11"/>
      <c r="Q27" s="1"/>
      <c r="R27" s="1"/>
    </row>
    <row r="28">
      <c r="A28" s="1"/>
      <c r="B28" s="1"/>
      <c r="C28" s="1"/>
      <c r="D28" s="1"/>
      <c r="E28" s="34" t="b">
        <v>0</v>
      </c>
      <c r="F28" s="53" t="s">
        <v>52</v>
      </c>
      <c r="G28" s="1"/>
      <c r="H28" s="28" t="b">
        <v>0</v>
      </c>
      <c r="I28" s="29"/>
      <c r="J28" s="1"/>
      <c r="K28" s="34" t="b">
        <v>0</v>
      </c>
      <c r="L28" s="33" t="s">
        <v>53</v>
      </c>
      <c r="M28" s="1"/>
      <c r="N28" s="1"/>
      <c r="O28" s="1"/>
      <c r="P28" s="1"/>
      <c r="Q28" s="1"/>
      <c r="R28" s="1"/>
    </row>
    <row r="29">
      <c r="A29" s="1"/>
      <c r="B29" s="1"/>
      <c r="C29" s="1"/>
      <c r="D29" s="38"/>
      <c r="E29" s="28" t="b">
        <v>0</v>
      </c>
      <c r="F29" s="53" t="s">
        <v>54</v>
      </c>
      <c r="G29" s="1"/>
      <c r="H29" s="28" t="b">
        <v>0</v>
      </c>
      <c r="I29" s="29"/>
      <c r="J29" s="1"/>
      <c r="K29" s="34" t="b">
        <v>0</v>
      </c>
      <c r="L29" s="29" t="s">
        <v>55</v>
      </c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39" t="b">
        <v>0</v>
      </c>
      <c r="F30" s="27"/>
      <c r="G30" s="1"/>
      <c r="H30" s="28" t="b">
        <v>0</v>
      </c>
      <c r="I30" s="29"/>
      <c r="J30" s="1"/>
      <c r="K30" s="34" t="b">
        <v>0</v>
      </c>
      <c r="L30" s="29" t="s">
        <v>56</v>
      </c>
      <c r="M30" s="1"/>
      <c r="N30" s="1"/>
      <c r="O30" s="1"/>
      <c r="P30" s="1"/>
      <c r="Q30" s="1"/>
      <c r="R30" s="1"/>
    </row>
    <row r="31">
      <c r="A31" s="1"/>
      <c r="B31" s="1"/>
      <c r="C31" s="1"/>
      <c r="D31" s="38"/>
      <c r="E31" s="41" t="b">
        <v>0</v>
      </c>
      <c r="F31" s="42"/>
      <c r="G31" s="1"/>
      <c r="H31" s="54" t="b">
        <v>0</v>
      </c>
      <c r="I31" s="55"/>
      <c r="J31" s="1"/>
      <c r="K31" s="34" t="b">
        <v>0</v>
      </c>
      <c r="L31" s="29" t="s">
        <v>57</v>
      </c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34" t="b">
        <v>0</v>
      </c>
      <c r="L32" s="29" t="s">
        <v>58</v>
      </c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28" t="b">
        <v>1</v>
      </c>
      <c r="L33" s="29" t="s">
        <v>59</v>
      </c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34" t="b">
        <v>0</v>
      </c>
      <c r="L34" s="29" t="s">
        <v>60</v>
      </c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34" t="b">
        <v>0</v>
      </c>
      <c r="L35" s="29" t="s">
        <v>61</v>
      </c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34" t="b">
        <v>0</v>
      </c>
      <c r="L36" s="29" t="s">
        <v>62</v>
      </c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28" t="b">
        <v>1</v>
      </c>
      <c r="L37" s="29" t="s">
        <v>63</v>
      </c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51" t="b">
        <v>0</v>
      </c>
      <c r="L38" s="55" t="s">
        <v>64</v>
      </c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24">
    <mergeCell ref="K15:L15"/>
    <mergeCell ref="N15:P15"/>
    <mergeCell ref="B2:P6"/>
    <mergeCell ref="R3:R4"/>
    <mergeCell ref="B8:P9"/>
    <mergeCell ref="B11:P13"/>
    <mergeCell ref="B15:C15"/>
    <mergeCell ref="E15:F15"/>
    <mergeCell ref="H15:I15"/>
    <mergeCell ref="B22:C22"/>
    <mergeCell ref="B23:C25"/>
    <mergeCell ref="E24:F24"/>
    <mergeCell ref="O23:P23"/>
    <mergeCell ref="O24:P24"/>
    <mergeCell ref="O25:P25"/>
    <mergeCell ref="O26:P26"/>
    <mergeCell ref="O27:P27"/>
    <mergeCell ref="B17:C17"/>
    <mergeCell ref="N17:O17"/>
    <mergeCell ref="B18:C18"/>
    <mergeCell ref="N18:O18"/>
    <mergeCell ref="N19:O19"/>
    <mergeCell ref="O21:P21"/>
    <mergeCell ref="O22:P22"/>
  </mergeCells>
  <hyperlinks>
    <hyperlink r:id="rId1" location="gid=0" ref="R3"/>
    <hyperlink r:id="rId2" ref="B2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5"/>
    <col customWidth="1" min="3" max="3" width="13.25"/>
    <col customWidth="1" min="4" max="4" width="5.13"/>
    <col customWidth="1" min="5" max="5" width="13.5"/>
    <col customWidth="1" min="6" max="6" width="17.38"/>
    <col customWidth="1" min="7" max="7" width="5.63"/>
    <col customWidth="1" min="8" max="8" width="15.13"/>
    <col customWidth="1" min="9" max="9" width="17.5"/>
    <col customWidth="1" min="10" max="10" width="6.63"/>
    <col customWidth="1" min="11" max="11" width="20.88"/>
    <col customWidth="1" min="13" max="13" width="4.5"/>
    <col customWidth="1" min="14" max="14" width="17.5"/>
    <col customWidth="1" min="15" max="15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1"/>
    </row>
    <row r="3">
      <c r="A3" s="1"/>
      <c r="B3" s="5"/>
      <c r="O3" s="6"/>
      <c r="P3" s="1"/>
    </row>
    <row r="4">
      <c r="A4" s="1"/>
      <c r="B4" s="5"/>
      <c r="O4" s="6"/>
      <c r="P4" s="1"/>
    </row>
    <row r="5">
      <c r="A5" s="1"/>
      <c r="B5" s="5"/>
      <c r="O5" s="6"/>
      <c r="P5" s="1"/>
    </row>
    <row r="6">
      <c r="A6" s="1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  <c r="P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1"/>
      <c r="B8" s="12" t="s">
        <v>65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1"/>
    </row>
    <row r="9">
      <c r="A9" s="1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  <c r="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1"/>
      <c r="B11" s="56" t="s">
        <v>66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  <c r="P11" s="1"/>
    </row>
    <row r="12">
      <c r="A12" s="1"/>
      <c r="B12" s="5"/>
      <c r="O12" s="6"/>
      <c r="P12" s="1"/>
    </row>
    <row r="13">
      <c r="A13" s="1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1"/>
      <c r="B15" s="14" t="s">
        <v>67</v>
      </c>
      <c r="C15" s="15"/>
      <c r="D15" s="16"/>
      <c r="E15" s="14" t="s">
        <v>68</v>
      </c>
      <c r="F15" s="15"/>
      <c r="G15" s="16"/>
      <c r="H15" s="14" t="s">
        <v>69</v>
      </c>
      <c r="I15" s="15"/>
      <c r="J15" s="16"/>
      <c r="K15" s="14" t="s">
        <v>70</v>
      </c>
      <c r="L15" s="18"/>
      <c r="M15" s="18"/>
      <c r="N15" s="18"/>
      <c r="O15" s="15"/>
      <c r="P15" s="1"/>
    </row>
    <row r="16">
      <c r="A16" s="1"/>
      <c r="B16" s="1"/>
      <c r="C16" s="1"/>
      <c r="D16" s="1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"/>
    </row>
    <row r="17">
      <c r="A17" s="1"/>
      <c r="B17" s="19" t="s">
        <v>9</v>
      </c>
      <c r="C17" s="15"/>
      <c r="D17" s="1"/>
      <c r="E17" s="19" t="s">
        <v>71</v>
      </c>
      <c r="F17" s="15"/>
      <c r="G17" s="16"/>
      <c r="H17" s="19" t="s">
        <v>72</v>
      </c>
      <c r="I17" s="15"/>
      <c r="J17" s="16"/>
      <c r="K17" s="57" t="s">
        <v>73</v>
      </c>
      <c r="L17" s="15"/>
      <c r="M17" s="16"/>
      <c r="N17" s="57" t="s">
        <v>74</v>
      </c>
      <c r="O17" s="15"/>
      <c r="P17" s="1"/>
    </row>
    <row r="18">
      <c r="A18" s="1"/>
      <c r="B18" s="1"/>
      <c r="D18" s="1"/>
      <c r="E18" s="19" t="s">
        <v>75</v>
      </c>
      <c r="F18" s="15"/>
      <c r="G18" s="16"/>
      <c r="H18" s="19" t="s">
        <v>76</v>
      </c>
      <c r="I18" s="15"/>
      <c r="J18" s="16"/>
      <c r="K18" s="16"/>
      <c r="L18" s="16"/>
      <c r="M18" s="16"/>
      <c r="N18" s="16"/>
      <c r="O18" s="16"/>
      <c r="P18" s="1"/>
    </row>
    <row r="19">
      <c r="A19" s="1"/>
      <c r="B19" s="31" t="s">
        <v>21</v>
      </c>
      <c r="C19" s="49">
        <f>'Summarize Your Offer'!C19</f>
        <v>100000</v>
      </c>
      <c r="D19" s="58"/>
      <c r="E19" s="31" t="s">
        <v>21</v>
      </c>
      <c r="F19" s="49">
        <f>F20*12</f>
        <v>60000</v>
      </c>
      <c r="G19" s="58"/>
      <c r="H19" s="31" t="s">
        <v>77</v>
      </c>
      <c r="I19" s="32">
        <v>15000.0</v>
      </c>
      <c r="J19" s="58"/>
      <c r="K19" s="19" t="s">
        <v>78</v>
      </c>
      <c r="L19" s="15"/>
      <c r="M19" s="16"/>
      <c r="N19" s="19" t="s">
        <v>79</v>
      </c>
      <c r="O19" s="15"/>
      <c r="P19" s="1"/>
    </row>
    <row r="20">
      <c r="A20" s="1"/>
      <c r="B20" s="31" t="s">
        <v>26</v>
      </c>
      <c r="C20" s="37">
        <f>'Summarize Your Offer'!C20</f>
        <v>8333.333333</v>
      </c>
      <c r="D20" s="58"/>
      <c r="E20" s="31" t="s">
        <v>26</v>
      </c>
      <c r="F20" s="32">
        <v>5000.0</v>
      </c>
      <c r="G20" s="16"/>
      <c r="H20" s="31" t="s">
        <v>80</v>
      </c>
      <c r="I20" s="49">
        <f>F20</f>
        <v>5000</v>
      </c>
      <c r="J20" s="58"/>
      <c r="K20" s="31" t="s">
        <v>81</v>
      </c>
      <c r="L20" s="37">
        <f>C25</f>
        <v>5575.416667</v>
      </c>
      <c r="M20" s="58"/>
      <c r="N20" s="31" t="s">
        <v>82</v>
      </c>
      <c r="O20" s="49">
        <f>L22</f>
        <v>575.4166667</v>
      </c>
      <c r="P20" s="58"/>
    </row>
    <row r="21">
      <c r="A21" s="1"/>
      <c r="B21" s="1"/>
      <c r="C21" s="1"/>
      <c r="D21" s="1"/>
      <c r="E21" s="16"/>
      <c r="F21" s="16"/>
      <c r="G21" s="16"/>
      <c r="H21" s="31" t="s">
        <v>83</v>
      </c>
      <c r="I21" s="59" t="str">
        <f>CONCATENATE((I19/I20)," ","months")</f>
        <v>3 months</v>
      </c>
      <c r="J21" s="58"/>
      <c r="K21" s="31" t="s">
        <v>80</v>
      </c>
      <c r="L21" s="49">
        <f>F20</f>
        <v>5000</v>
      </c>
      <c r="M21" s="58"/>
      <c r="N21" s="31" t="s">
        <v>84</v>
      </c>
      <c r="O21" s="37">
        <f>F25</f>
        <v>1000</v>
      </c>
      <c r="P21" s="58"/>
    </row>
    <row r="22">
      <c r="A22" s="1"/>
      <c r="B22" s="19" t="s">
        <v>34</v>
      </c>
      <c r="C22" s="15"/>
      <c r="D22" s="1"/>
      <c r="E22" s="19" t="s">
        <v>84</v>
      </c>
      <c r="F22" s="15"/>
      <c r="G22" s="16"/>
      <c r="H22" s="16"/>
      <c r="I22" s="16"/>
      <c r="J22" s="16"/>
      <c r="K22" s="60" t="s">
        <v>85</v>
      </c>
      <c r="L22" s="61">
        <f>L20-L21</f>
        <v>575.4166667</v>
      </c>
      <c r="M22" s="58"/>
      <c r="N22" s="62" t="s">
        <v>86</v>
      </c>
      <c r="O22" s="61">
        <f>O20-O21</f>
        <v>-424.5833333</v>
      </c>
      <c r="P22" s="58"/>
    </row>
    <row r="23">
      <c r="A23" s="1"/>
      <c r="B23" s="1"/>
      <c r="D23" s="1"/>
      <c r="E23" s="19" t="s">
        <v>87</v>
      </c>
      <c r="F23" s="15"/>
      <c r="G23" s="16"/>
      <c r="H23" s="16"/>
      <c r="I23" s="16"/>
      <c r="J23" s="16"/>
      <c r="K23" s="8"/>
      <c r="L23" s="8"/>
      <c r="M23" s="16"/>
      <c r="N23" s="8"/>
      <c r="O23" s="8"/>
      <c r="P23" s="1"/>
    </row>
    <row r="24">
      <c r="A24" s="1"/>
      <c r="B24" s="31" t="s">
        <v>21</v>
      </c>
      <c r="C24" s="49">
        <f>'Summarize Your Offer'!C26</f>
        <v>66905</v>
      </c>
      <c r="D24" s="58"/>
      <c r="E24" s="31" t="s">
        <v>21</v>
      </c>
      <c r="F24" s="63">
        <f>F25*12</f>
        <v>12000</v>
      </c>
      <c r="G24" s="58"/>
      <c r="H24" s="16"/>
      <c r="I24" s="16"/>
      <c r="J24" s="16"/>
      <c r="K24" s="16"/>
      <c r="L24" s="16"/>
      <c r="M24" s="16"/>
      <c r="N24" s="16"/>
      <c r="O24" s="16"/>
      <c r="P24" s="16"/>
    </row>
    <row r="25">
      <c r="A25" s="1"/>
      <c r="B25" s="31" t="s">
        <v>26</v>
      </c>
      <c r="C25" s="49">
        <f>'Summarize Your Offer'!C27</f>
        <v>5575.416667</v>
      </c>
      <c r="D25" s="58"/>
      <c r="E25" s="31" t="s">
        <v>26</v>
      </c>
      <c r="F25" s="32">
        <v>1000.0</v>
      </c>
      <c r="G25" s="16"/>
      <c r="H25" s="16"/>
      <c r="I25" s="16"/>
      <c r="J25" s="16"/>
      <c r="K25" s="19" t="s">
        <v>88</v>
      </c>
      <c r="L25" s="15"/>
      <c r="M25" s="16"/>
      <c r="N25" s="19" t="s">
        <v>89</v>
      </c>
      <c r="O25" s="15"/>
      <c r="P25" s="58"/>
    </row>
    <row r="26">
      <c r="A26" s="1"/>
      <c r="B26" s="1"/>
      <c r="C26" s="1"/>
      <c r="D26" s="1"/>
      <c r="E26" s="16"/>
      <c r="F26" s="16"/>
      <c r="G26" s="16"/>
      <c r="H26" s="16"/>
      <c r="I26" s="16"/>
      <c r="J26" s="16"/>
      <c r="K26" s="31" t="s">
        <v>81</v>
      </c>
      <c r="L26" s="37">
        <f>C24</f>
        <v>66905</v>
      </c>
      <c r="M26" s="58"/>
      <c r="N26" s="31" t="s">
        <v>82</v>
      </c>
      <c r="O26" s="37">
        <f>L28</f>
        <v>6905</v>
      </c>
      <c r="P26" s="58"/>
    </row>
    <row r="27">
      <c r="A27" s="1"/>
      <c r="B27" s="1"/>
      <c r="C27" s="1"/>
      <c r="D27" s="1"/>
      <c r="E27" s="16"/>
      <c r="F27" s="16"/>
      <c r="G27" s="16"/>
      <c r="H27" s="16"/>
      <c r="I27" s="16"/>
      <c r="J27" s="16"/>
      <c r="K27" s="31" t="s">
        <v>80</v>
      </c>
      <c r="L27" s="49">
        <f>F19</f>
        <v>60000</v>
      </c>
      <c r="M27" s="58"/>
      <c r="N27" s="31" t="s">
        <v>84</v>
      </c>
      <c r="O27" s="49">
        <f>F24</f>
        <v>12000</v>
      </c>
      <c r="P27" s="58"/>
    </row>
    <row r="28">
      <c r="A28" s="1"/>
      <c r="B28" s="1"/>
      <c r="C28" s="1"/>
      <c r="D28" s="1"/>
      <c r="E28" s="16"/>
      <c r="F28" s="16"/>
      <c r="G28" s="16"/>
      <c r="H28" s="16"/>
      <c r="I28" s="16"/>
      <c r="J28" s="16"/>
      <c r="K28" s="64" t="s">
        <v>85</v>
      </c>
      <c r="L28" s="61">
        <f>L26-L27</f>
        <v>6905</v>
      </c>
      <c r="M28" s="58"/>
      <c r="N28" s="62" t="s">
        <v>86</v>
      </c>
      <c r="O28" s="61">
        <f>O26-O27</f>
        <v>-5095</v>
      </c>
      <c r="P28" s="1"/>
    </row>
    <row r="29">
      <c r="A29" s="1"/>
      <c r="B29" s="1"/>
      <c r="C29" s="1"/>
      <c r="D29" s="1"/>
      <c r="E29" s="16"/>
      <c r="F29" s="16"/>
      <c r="G29" s="16"/>
      <c r="H29" s="16"/>
      <c r="I29" s="16"/>
      <c r="J29" s="16"/>
      <c r="K29" s="8"/>
      <c r="L29" s="8"/>
      <c r="M29" s="16"/>
      <c r="N29" s="8"/>
      <c r="O29" s="8"/>
      <c r="P29" s="1"/>
    </row>
    <row r="30">
      <c r="A30" s="1"/>
      <c r="B30" s="1"/>
      <c r="C30" s="1"/>
      <c r="D30" s="3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"/>
    </row>
    <row r="31">
      <c r="A31" s="1"/>
      <c r="B31" s="1"/>
      <c r="C31" s="1"/>
      <c r="D31" s="1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"/>
    </row>
    <row r="32">
      <c r="A32" s="1"/>
      <c r="B32" s="1"/>
      <c r="C32" s="1"/>
      <c r="D32" s="3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"/>
    </row>
    <row r="33">
      <c r="A33" s="1"/>
      <c r="B33" s="1"/>
      <c r="C33" s="1"/>
      <c r="D33" s="1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"/>
    </row>
    <row r="34">
      <c r="A34" s="1"/>
      <c r="B34" s="1"/>
      <c r="C34" s="1"/>
      <c r="D34" s="1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"/>
    </row>
    <row r="35">
      <c r="A35" s="1"/>
      <c r="B35" s="1"/>
      <c r="C35" s="1"/>
      <c r="D35" s="1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"/>
    </row>
    <row r="36">
      <c r="A36" s="1"/>
      <c r="B36" s="1"/>
      <c r="C36" s="1"/>
      <c r="D36" s="1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"/>
    </row>
    <row r="37">
      <c r="A37" s="1"/>
      <c r="B37" s="1"/>
      <c r="C37" s="1"/>
      <c r="D37" s="1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"/>
    </row>
    <row r="38">
      <c r="A38" s="1"/>
      <c r="B38" s="1"/>
      <c r="C38" s="1"/>
      <c r="D38" s="1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"/>
    </row>
    <row r="39">
      <c r="A39" s="1"/>
      <c r="B39" s="1"/>
      <c r="C39" s="1"/>
      <c r="D39" s="1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</row>
    <row r="1003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</row>
    <row r="1004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</row>
    <row r="1005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</row>
    <row r="1006">
      <c r="A1006" s="65"/>
      <c r="B1006" s="65"/>
      <c r="C1006" s="65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</row>
    <row r="1007">
      <c r="A1007" s="65"/>
      <c r="B1007" s="65"/>
      <c r="C1007" s="65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</row>
    <row r="1008">
      <c r="A1008" s="65"/>
      <c r="B1008" s="65"/>
      <c r="C1008" s="65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</row>
    <row r="1009">
      <c r="A1009" s="65"/>
      <c r="B1009" s="65"/>
      <c r="C1009" s="65"/>
      <c r="D1009" s="65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</row>
    <row r="1010">
      <c r="A1010" s="65"/>
      <c r="B1010" s="65"/>
      <c r="C1010" s="65"/>
      <c r="D1010" s="65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</row>
    <row r="1011">
      <c r="A1011" s="65"/>
      <c r="B1011" s="65"/>
      <c r="C1011" s="65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</row>
    <row r="1012">
      <c r="A1012" s="65"/>
      <c r="B1012" s="65"/>
      <c r="C1012" s="65"/>
      <c r="D1012" s="65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</row>
    <row r="1013">
      <c r="A1013" s="65"/>
      <c r="B1013" s="65"/>
      <c r="C1013" s="65"/>
      <c r="D1013" s="65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</row>
    <row r="1014">
      <c r="A1014" s="65"/>
      <c r="B1014" s="65"/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</row>
    <row r="1015">
      <c r="A1015" s="65"/>
      <c r="B1015" s="65"/>
      <c r="C1015" s="65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</row>
  </sheetData>
  <mergeCells count="31">
    <mergeCell ref="B2:O6"/>
    <mergeCell ref="B8:O9"/>
    <mergeCell ref="B11:O13"/>
    <mergeCell ref="B15:C15"/>
    <mergeCell ref="E15:F15"/>
    <mergeCell ref="H15:I15"/>
    <mergeCell ref="K15:O15"/>
    <mergeCell ref="K17:L17"/>
    <mergeCell ref="K19:L19"/>
    <mergeCell ref="N19:O19"/>
    <mergeCell ref="B17:C17"/>
    <mergeCell ref="E17:F17"/>
    <mergeCell ref="H17:I17"/>
    <mergeCell ref="N17:O17"/>
    <mergeCell ref="B18:C18"/>
    <mergeCell ref="E18:F18"/>
    <mergeCell ref="H18:I18"/>
    <mergeCell ref="L22:L23"/>
    <mergeCell ref="K25:L25"/>
    <mergeCell ref="N25:O25"/>
    <mergeCell ref="K28:K29"/>
    <mergeCell ref="L28:L29"/>
    <mergeCell ref="N28:N29"/>
    <mergeCell ref="O28:O29"/>
    <mergeCell ref="B22:C22"/>
    <mergeCell ref="E22:F22"/>
    <mergeCell ref="K22:K23"/>
    <mergeCell ref="N22:N23"/>
    <mergeCell ref="O22:O23"/>
    <mergeCell ref="B23:C23"/>
    <mergeCell ref="E23:F23"/>
  </mergeCells>
  <conditionalFormatting sqref="L22 O22 L28 O28">
    <cfRule type="cellIs" dxfId="0" priority="1" operator="lessThan">
      <formula>0</formula>
    </cfRule>
  </conditionalFormatting>
  <conditionalFormatting sqref="L22 O22 L28 O28">
    <cfRule type="cellIs" dxfId="1" priority="2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3.25"/>
    <col customWidth="1" min="3" max="3" width="15.88"/>
    <col customWidth="1" min="5" max="5" width="4.88"/>
    <col customWidth="1" min="6" max="6" width="17.13"/>
    <col customWidth="1" min="8" max="8" width="4.88"/>
    <col customWidth="1" min="9" max="9" width="15.13"/>
    <col customWidth="1" min="11" max="11" width="5.38"/>
    <col customWidth="1" min="12" max="12" width="20.88"/>
    <col customWidth="1" min="14" max="14" width="4.5"/>
    <col customWidth="1" min="15" max="15" width="6.38"/>
    <col customWidth="1" min="16" max="16" width="19.38"/>
    <col customWidth="1" min="17" max="17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1"/>
      <c r="R2" s="1"/>
    </row>
    <row r="3">
      <c r="A3" s="1"/>
      <c r="B3" s="5"/>
      <c r="P3" s="6"/>
      <c r="Q3" s="1"/>
      <c r="R3" s="7" t="s">
        <v>0</v>
      </c>
    </row>
    <row r="4">
      <c r="A4" s="1"/>
      <c r="B4" s="5"/>
      <c r="P4" s="6"/>
      <c r="Q4" s="1"/>
      <c r="R4" s="8"/>
    </row>
    <row r="5">
      <c r="A5" s="1"/>
      <c r="B5" s="5"/>
      <c r="P5" s="6"/>
      <c r="Q5" s="1"/>
      <c r="R5" s="1"/>
    </row>
    <row r="6">
      <c r="A6" s="1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  <c r="Q6" s="1"/>
      <c r="R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2" t="s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1"/>
      <c r="R8" s="1"/>
    </row>
    <row r="9">
      <c r="A9" s="1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  <c r="Q9" s="1"/>
      <c r="R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 t="s">
        <v>2</v>
      </c>
      <c r="L10" s="1"/>
      <c r="M10" s="1"/>
      <c r="N10" s="1"/>
      <c r="O10" s="1"/>
      <c r="P10" s="1"/>
      <c r="Q10" s="1"/>
      <c r="R10" s="1"/>
    </row>
    <row r="11">
      <c r="A11" s="1"/>
      <c r="B11" s="56" t="s">
        <v>90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1"/>
      <c r="R11" s="1"/>
    </row>
    <row r="12">
      <c r="A12" s="1"/>
      <c r="B12" s="5"/>
      <c r="P12" s="6"/>
      <c r="Q12" s="1"/>
      <c r="R12" s="1"/>
    </row>
    <row r="13">
      <c r="A13" s="1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  <c r="Q13" s="1"/>
      <c r="R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4" t="s">
        <v>4</v>
      </c>
      <c r="C15" s="15"/>
      <c r="D15" s="16"/>
      <c r="E15" s="17" t="s">
        <v>5</v>
      </c>
      <c r="F15" s="15"/>
      <c r="G15" s="16"/>
      <c r="H15" s="14" t="s">
        <v>6</v>
      </c>
      <c r="I15" s="15"/>
      <c r="J15" s="16"/>
      <c r="K15" s="14" t="s">
        <v>7</v>
      </c>
      <c r="L15" s="15"/>
      <c r="M15" s="16"/>
      <c r="N15" s="14" t="s">
        <v>8</v>
      </c>
      <c r="O15" s="18"/>
      <c r="P15" s="15"/>
      <c r="Q15" s="1"/>
      <c r="R15" s="1"/>
    </row>
    <row r="16">
      <c r="A16" s="1"/>
      <c r="B16" s="1"/>
      <c r="C16" s="1"/>
      <c r="D16" s="1"/>
      <c r="E16" s="1"/>
      <c r="F16" s="1" t="s">
        <v>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9" t="s">
        <v>9</v>
      </c>
      <c r="C17" s="15"/>
      <c r="D17" s="1"/>
      <c r="E17" s="20" t="b">
        <v>0</v>
      </c>
      <c r="F17" s="21" t="s">
        <v>10</v>
      </c>
      <c r="G17" s="1"/>
      <c r="H17" s="22" t="b">
        <v>1</v>
      </c>
      <c r="I17" s="23" t="s">
        <v>11</v>
      </c>
      <c r="J17" s="1"/>
      <c r="K17" s="22" t="b">
        <v>0</v>
      </c>
      <c r="L17" s="23" t="s">
        <v>12</v>
      </c>
      <c r="M17" s="1"/>
      <c r="N17" s="66" t="s">
        <v>13</v>
      </c>
      <c r="O17" s="15"/>
      <c r="P17" s="67" t="s">
        <v>91</v>
      </c>
      <c r="Q17" s="1"/>
      <c r="R17" s="1"/>
    </row>
    <row r="18">
      <c r="A18" s="1"/>
      <c r="B18" s="19" t="s">
        <v>92</v>
      </c>
      <c r="C18" s="15"/>
      <c r="D18" s="1"/>
      <c r="E18" s="26" t="b">
        <v>1</v>
      </c>
      <c r="F18" s="27" t="s">
        <v>16</v>
      </c>
      <c r="G18" s="1"/>
      <c r="H18" s="28" t="b">
        <v>0</v>
      </c>
      <c r="I18" s="29" t="s">
        <v>17</v>
      </c>
      <c r="J18" s="1"/>
      <c r="K18" s="28" t="b">
        <v>0</v>
      </c>
      <c r="L18" s="29" t="s">
        <v>18</v>
      </c>
      <c r="M18" s="1"/>
      <c r="N18" s="66" t="s">
        <v>19</v>
      </c>
      <c r="O18" s="15"/>
      <c r="P18" s="67" t="s">
        <v>93</v>
      </c>
      <c r="Q18" s="1"/>
      <c r="R18" s="1"/>
    </row>
    <row r="19">
      <c r="A19" s="1"/>
      <c r="B19" s="31" t="s">
        <v>21</v>
      </c>
      <c r="C19" s="32">
        <v>125000.0</v>
      </c>
      <c r="D19" s="1"/>
      <c r="E19" s="26" t="b">
        <v>0</v>
      </c>
      <c r="F19" s="27" t="s">
        <v>22</v>
      </c>
      <c r="G19" s="1"/>
      <c r="H19" s="28" t="b">
        <v>0</v>
      </c>
      <c r="I19" s="33" t="s">
        <v>23</v>
      </c>
      <c r="J19" s="1"/>
      <c r="K19" s="34" t="b">
        <v>0</v>
      </c>
      <c r="L19" s="29" t="s">
        <v>24</v>
      </c>
      <c r="M19" s="1"/>
      <c r="N19" s="66" t="s">
        <v>25</v>
      </c>
      <c r="O19" s="15"/>
      <c r="P19" s="68">
        <v>44044.0</v>
      </c>
      <c r="Q19" s="1"/>
      <c r="R19" s="1"/>
    </row>
    <row r="20">
      <c r="A20" s="1"/>
      <c r="B20" s="31" t="s">
        <v>26</v>
      </c>
      <c r="C20" s="37">
        <f>C19/12</f>
        <v>10416.66667</v>
      </c>
      <c r="D20" s="38"/>
      <c r="E20" s="39" t="b">
        <v>0</v>
      </c>
      <c r="F20" s="27" t="s">
        <v>27</v>
      </c>
      <c r="G20" s="1"/>
      <c r="H20" s="28" t="b">
        <v>0</v>
      </c>
      <c r="I20" s="33" t="s">
        <v>28</v>
      </c>
      <c r="J20" s="1"/>
      <c r="K20" s="34" t="b">
        <v>0</v>
      </c>
      <c r="L20" s="29" t="s">
        <v>29</v>
      </c>
      <c r="M20" s="1"/>
      <c r="N20" s="1"/>
      <c r="O20" s="1"/>
      <c r="P20" s="1"/>
      <c r="Q20" s="1"/>
      <c r="R20" s="1"/>
    </row>
    <row r="21">
      <c r="A21" s="1"/>
      <c r="B21" s="1"/>
      <c r="C21" s="1"/>
      <c r="D21" s="1"/>
      <c r="E21" s="39" t="b">
        <v>0</v>
      </c>
      <c r="F21" s="27"/>
      <c r="G21" s="1"/>
      <c r="H21" s="28" t="b">
        <v>1</v>
      </c>
      <c r="I21" s="29" t="s">
        <v>31</v>
      </c>
      <c r="J21" s="1"/>
      <c r="K21" s="34" t="b">
        <v>0</v>
      </c>
      <c r="L21" s="29" t="s">
        <v>32</v>
      </c>
      <c r="M21" s="1"/>
      <c r="N21" s="22" t="b">
        <v>1</v>
      </c>
      <c r="O21" s="40" t="s">
        <v>33</v>
      </c>
      <c r="P21" s="4"/>
      <c r="Q21" s="1"/>
      <c r="R21" s="1"/>
    </row>
    <row r="22">
      <c r="A22" s="1"/>
      <c r="B22" s="19" t="s">
        <v>34</v>
      </c>
      <c r="C22" s="15"/>
      <c r="D22" s="1"/>
      <c r="E22" s="41" t="b">
        <v>0</v>
      </c>
      <c r="F22" s="42"/>
      <c r="G22" s="1"/>
      <c r="H22" s="28" t="b">
        <v>1</v>
      </c>
      <c r="I22" s="29" t="s">
        <v>35</v>
      </c>
      <c r="J22" s="1"/>
      <c r="K22" s="34" t="b">
        <v>0</v>
      </c>
      <c r="L22" s="29" t="s">
        <v>36</v>
      </c>
      <c r="M22" s="1"/>
      <c r="N22" s="28" t="b">
        <v>1</v>
      </c>
      <c r="O22" s="43" t="s">
        <v>37</v>
      </c>
      <c r="P22" s="6"/>
      <c r="Q22" s="1"/>
      <c r="R22" s="1"/>
    </row>
    <row r="23">
      <c r="A23" s="1"/>
      <c r="B23" s="69" t="s">
        <v>94</v>
      </c>
      <c r="C23" s="15"/>
      <c r="D23" s="1"/>
      <c r="E23" s="1"/>
      <c r="F23" s="1"/>
      <c r="G23" s="1"/>
      <c r="H23" s="28" t="b">
        <v>0</v>
      </c>
      <c r="I23" s="29" t="s">
        <v>39</v>
      </c>
      <c r="J23" s="1"/>
      <c r="K23" s="28" t="b">
        <v>1</v>
      </c>
      <c r="L23" s="29" t="s">
        <v>40</v>
      </c>
      <c r="M23" s="1"/>
      <c r="N23" s="28" t="b">
        <v>0</v>
      </c>
      <c r="O23" s="43" t="s">
        <v>41</v>
      </c>
      <c r="P23" s="6"/>
      <c r="Q23" s="1"/>
      <c r="R23" s="1"/>
    </row>
    <row r="24">
      <c r="A24" s="1"/>
      <c r="B24" s="31" t="s">
        <v>21</v>
      </c>
      <c r="C24" s="32">
        <v>81068.0</v>
      </c>
      <c r="D24" s="1"/>
      <c r="E24" s="14" t="s">
        <v>42</v>
      </c>
      <c r="F24" s="15"/>
      <c r="G24" s="1"/>
      <c r="H24" s="28" t="b">
        <v>0</v>
      </c>
      <c r="I24" s="29" t="s">
        <v>43</v>
      </c>
      <c r="J24" s="1"/>
      <c r="K24" s="28" t="b">
        <v>0</v>
      </c>
      <c r="L24" s="29" t="s">
        <v>44</v>
      </c>
      <c r="M24" s="1"/>
      <c r="N24" s="28" t="b">
        <v>0</v>
      </c>
      <c r="O24" s="45"/>
      <c r="P24" s="6"/>
      <c r="Q24" s="1"/>
      <c r="R24" s="1"/>
    </row>
    <row r="25">
      <c r="A25" s="1"/>
      <c r="B25" s="31" t="s">
        <v>26</v>
      </c>
      <c r="C25" s="49">
        <f>C24/12</f>
        <v>6755.666667</v>
      </c>
      <c r="D25" s="38"/>
      <c r="E25" s="1"/>
      <c r="F25" s="1" t="s">
        <v>2</v>
      </c>
      <c r="G25" s="1"/>
      <c r="H25" s="28" t="b">
        <v>1</v>
      </c>
      <c r="I25" s="29" t="s">
        <v>45</v>
      </c>
      <c r="J25" s="1"/>
      <c r="K25" s="28" t="b">
        <v>1</v>
      </c>
      <c r="L25" s="29" t="s">
        <v>46</v>
      </c>
      <c r="M25" s="1"/>
      <c r="N25" s="34" t="b">
        <v>0</v>
      </c>
      <c r="O25" s="46"/>
      <c r="P25" s="6"/>
      <c r="Q25" s="1"/>
      <c r="R25" s="1"/>
    </row>
    <row r="26">
      <c r="A26" s="1"/>
      <c r="B26" s="1"/>
      <c r="C26" s="1"/>
      <c r="D26" s="1"/>
      <c r="E26" s="22" t="b">
        <v>1</v>
      </c>
      <c r="F26" s="48" t="s">
        <v>47</v>
      </c>
      <c r="G26" s="1"/>
      <c r="H26" s="28" t="b">
        <v>1</v>
      </c>
      <c r="I26" s="29" t="s">
        <v>48</v>
      </c>
      <c r="J26" s="1"/>
      <c r="K26" s="34" t="b">
        <v>0</v>
      </c>
      <c r="L26" s="29" t="s">
        <v>49</v>
      </c>
      <c r="M26" s="1"/>
      <c r="N26" s="34" t="b">
        <v>0</v>
      </c>
      <c r="O26" s="46"/>
      <c r="P26" s="6"/>
      <c r="Q26" s="1"/>
      <c r="R26" s="1"/>
    </row>
    <row r="27">
      <c r="A27" s="1"/>
      <c r="B27" s="1"/>
      <c r="C27" s="1"/>
      <c r="D27" s="1"/>
      <c r="E27" s="28" t="b">
        <v>0</v>
      </c>
      <c r="F27" s="50" t="s">
        <v>50</v>
      </c>
      <c r="G27" s="1"/>
      <c r="H27" s="28" t="b">
        <v>0</v>
      </c>
      <c r="I27" s="29"/>
      <c r="J27" s="1"/>
      <c r="K27" s="28" t="b">
        <v>0</v>
      </c>
      <c r="L27" s="29" t="s">
        <v>51</v>
      </c>
      <c r="M27" s="1"/>
      <c r="N27" s="51" t="b">
        <v>0</v>
      </c>
      <c r="O27" s="52"/>
      <c r="P27" s="11"/>
      <c r="Q27" s="1"/>
      <c r="R27" s="1"/>
    </row>
    <row r="28">
      <c r="A28" s="1"/>
      <c r="B28" s="1"/>
      <c r="C28" s="1"/>
      <c r="D28" s="1"/>
      <c r="E28" s="34" t="b">
        <v>0</v>
      </c>
      <c r="F28" s="53" t="s">
        <v>52</v>
      </c>
      <c r="G28" s="1"/>
      <c r="H28" s="28" t="b">
        <v>0</v>
      </c>
      <c r="I28" s="29"/>
      <c r="J28" s="1"/>
      <c r="K28" s="28" t="b">
        <v>1</v>
      </c>
      <c r="L28" s="33" t="s">
        <v>53</v>
      </c>
      <c r="M28" s="1"/>
      <c r="N28" s="1"/>
      <c r="O28" s="1"/>
      <c r="P28" s="1"/>
      <c r="Q28" s="1"/>
      <c r="R28" s="1"/>
    </row>
    <row r="29">
      <c r="A29" s="1"/>
      <c r="B29" s="1"/>
      <c r="C29" s="1"/>
      <c r="D29" s="38"/>
      <c r="E29" s="28" t="b">
        <v>0</v>
      </c>
      <c r="F29" s="53" t="s">
        <v>54</v>
      </c>
      <c r="G29" s="1"/>
      <c r="H29" s="28" t="b">
        <v>0</v>
      </c>
      <c r="I29" s="29"/>
      <c r="J29" s="1"/>
      <c r="K29" s="34" t="b">
        <v>0</v>
      </c>
      <c r="L29" s="29" t="s">
        <v>55</v>
      </c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39" t="b">
        <v>0</v>
      </c>
      <c r="F30" s="27"/>
      <c r="G30" s="1"/>
      <c r="H30" s="28" t="b">
        <v>0</v>
      </c>
      <c r="I30" s="29"/>
      <c r="J30" s="1"/>
      <c r="K30" s="34" t="b">
        <v>0</v>
      </c>
      <c r="L30" s="29" t="s">
        <v>56</v>
      </c>
      <c r="M30" s="1"/>
      <c r="N30" s="1"/>
      <c r="O30" s="1"/>
      <c r="P30" s="1"/>
      <c r="Q30" s="1"/>
      <c r="R30" s="1"/>
    </row>
    <row r="31">
      <c r="A31" s="1"/>
      <c r="B31" s="1"/>
      <c r="C31" s="1"/>
      <c r="D31" s="38"/>
      <c r="E31" s="41" t="b">
        <v>0</v>
      </c>
      <c r="F31" s="42"/>
      <c r="G31" s="1"/>
      <c r="H31" s="54" t="b">
        <v>0</v>
      </c>
      <c r="I31" s="55"/>
      <c r="J31" s="1"/>
      <c r="K31" s="34" t="b">
        <v>0</v>
      </c>
      <c r="L31" s="29" t="s">
        <v>57</v>
      </c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34" t="b">
        <v>0</v>
      </c>
      <c r="L32" s="29" t="s">
        <v>58</v>
      </c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28" t="b">
        <v>0</v>
      </c>
      <c r="L33" s="29" t="s">
        <v>59</v>
      </c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34" t="b">
        <v>0</v>
      </c>
      <c r="L34" s="29" t="s">
        <v>60</v>
      </c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34" t="b">
        <v>0</v>
      </c>
      <c r="L35" s="29" t="s">
        <v>61</v>
      </c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34" t="b">
        <v>0</v>
      </c>
      <c r="L36" s="29" t="s">
        <v>62</v>
      </c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28" t="b">
        <v>0</v>
      </c>
      <c r="L37" s="29" t="s">
        <v>63</v>
      </c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51" t="b">
        <v>0</v>
      </c>
      <c r="L38" s="55" t="s">
        <v>64</v>
      </c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24">
    <mergeCell ref="K15:L15"/>
    <mergeCell ref="N15:P15"/>
    <mergeCell ref="B2:P6"/>
    <mergeCell ref="R3:R4"/>
    <mergeCell ref="B8:P9"/>
    <mergeCell ref="B11:P13"/>
    <mergeCell ref="B15:C15"/>
    <mergeCell ref="E15:F15"/>
    <mergeCell ref="H15:I15"/>
    <mergeCell ref="B22:C22"/>
    <mergeCell ref="B23:C23"/>
    <mergeCell ref="E24:F24"/>
    <mergeCell ref="O23:P23"/>
    <mergeCell ref="O24:P24"/>
    <mergeCell ref="O25:P25"/>
    <mergeCell ref="O26:P26"/>
    <mergeCell ref="O27:P27"/>
    <mergeCell ref="B17:C17"/>
    <mergeCell ref="N17:O17"/>
    <mergeCell ref="B18:C18"/>
    <mergeCell ref="N18:O18"/>
    <mergeCell ref="N19:O19"/>
    <mergeCell ref="O21:P21"/>
    <mergeCell ref="O22:P22"/>
  </mergeCells>
  <hyperlinks>
    <hyperlink r:id="rId1" location="gid=0" ref="R3"/>
    <hyperlink r:id="rId2" ref="B2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5"/>
    <col customWidth="1" min="3" max="3" width="13.25"/>
    <col customWidth="1" min="4" max="4" width="6.63"/>
    <col customWidth="1" min="5" max="5" width="13.5"/>
    <col customWidth="1" min="6" max="6" width="17.38"/>
    <col customWidth="1" min="7" max="7" width="7.63"/>
    <col customWidth="1" min="8" max="8" width="15.13"/>
    <col customWidth="1" min="10" max="10" width="9.0"/>
    <col customWidth="1" min="11" max="11" width="20.88"/>
    <col customWidth="1" min="13" max="13" width="4.5"/>
    <col customWidth="1" min="14" max="14" width="17.5"/>
    <col customWidth="1" min="15" max="15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1"/>
    </row>
    <row r="3">
      <c r="A3" s="1"/>
      <c r="B3" s="5"/>
      <c r="O3" s="6"/>
      <c r="P3" s="1"/>
    </row>
    <row r="4">
      <c r="A4" s="1"/>
      <c r="B4" s="5"/>
      <c r="O4" s="6"/>
      <c r="P4" s="1"/>
    </row>
    <row r="5">
      <c r="A5" s="1"/>
      <c r="B5" s="5"/>
      <c r="O5" s="6"/>
      <c r="P5" s="1"/>
    </row>
    <row r="6">
      <c r="A6" s="1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  <c r="P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1"/>
      <c r="B8" s="12" t="s">
        <v>65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1"/>
    </row>
    <row r="9">
      <c r="A9" s="1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  <c r="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1"/>
      <c r="B11" s="56" t="s">
        <v>95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  <c r="P11" s="1"/>
    </row>
    <row r="12">
      <c r="A12" s="1"/>
      <c r="B12" s="5"/>
      <c r="O12" s="6"/>
      <c r="P12" s="1"/>
    </row>
    <row r="13">
      <c r="A13" s="1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1"/>
      <c r="B15" s="14" t="s">
        <v>67</v>
      </c>
      <c r="C15" s="15"/>
      <c r="D15" s="16"/>
      <c r="E15" s="14" t="s">
        <v>68</v>
      </c>
      <c r="F15" s="15"/>
      <c r="G15" s="16"/>
      <c r="H15" s="14" t="s">
        <v>69</v>
      </c>
      <c r="I15" s="15"/>
      <c r="J15" s="16"/>
      <c r="K15" s="14" t="s">
        <v>70</v>
      </c>
      <c r="L15" s="18"/>
      <c r="M15" s="18"/>
      <c r="N15" s="18"/>
      <c r="O15" s="15"/>
      <c r="P15" s="1"/>
    </row>
    <row r="16">
      <c r="A16" s="1"/>
      <c r="B16" s="1"/>
      <c r="C16" s="1"/>
      <c r="D16" s="1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"/>
    </row>
    <row r="17">
      <c r="A17" s="1"/>
      <c r="B17" s="19" t="s">
        <v>9</v>
      </c>
      <c r="C17" s="15"/>
      <c r="D17" s="1"/>
      <c r="E17" s="19" t="s">
        <v>71</v>
      </c>
      <c r="F17" s="15"/>
      <c r="G17" s="16"/>
      <c r="H17" s="19" t="s">
        <v>72</v>
      </c>
      <c r="I17" s="15"/>
      <c r="J17" s="16"/>
      <c r="K17" s="57" t="s">
        <v>73</v>
      </c>
      <c r="L17" s="15"/>
      <c r="M17" s="16"/>
      <c r="N17" s="57" t="s">
        <v>74</v>
      </c>
      <c r="O17" s="15"/>
      <c r="P17" s="1"/>
    </row>
    <row r="18">
      <c r="A18" s="1"/>
      <c r="B18" s="1"/>
      <c r="D18" s="1"/>
      <c r="E18" s="1"/>
      <c r="G18" s="16"/>
      <c r="H18" s="16"/>
      <c r="J18" s="16"/>
      <c r="K18" s="16"/>
      <c r="L18" s="16"/>
      <c r="M18" s="16"/>
      <c r="N18" s="16"/>
      <c r="O18" s="16"/>
      <c r="P18" s="1"/>
    </row>
    <row r="19">
      <c r="A19" s="1"/>
      <c r="B19" s="31" t="s">
        <v>21</v>
      </c>
      <c r="C19" s="49">
        <f>'Summarize Your 2nd Offer'!C19</f>
        <v>125000</v>
      </c>
      <c r="D19" s="58"/>
      <c r="E19" s="31" t="s">
        <v>21</v>
      </c>
      <c r="F19" s="49">
        <f>'Analyze Your Offer'!F19</f>
        <v>60000</v>
      </c>
      <c r="G19" s="58"/>
      <c r="H19" s="31" t="s">
        <v>77</v>
      </c>
      <c r="I19" s="49">
        <f>'Analyze Your Offer'!I19</f>
        <v>15000</v>
      </c>
      <c r="J19" s="58"/>
      <c r="K19" s="19" t="s">
        <v>78</v>
      </c>
      <c r="L19" s="15"/>
      <c r="M19" s="16"/>
      <c r="N19" s="19" t="s">
        <v>79</v>
      </c>
      <c r="O19" s="15"/>
      <c r="P19" s="1"/>
    </row>
    <row r="20">
      <c r="A20" s="1"/>
      <c r="B20" s="31" t="s">
        <v>26</v>
      </c>
      <c r="C20" s="37">
        <f>'Summarize Your 2nd Offer'!C20</f>
        <v>10416.66667</v>
      </c>
      <c r="D20" s="58"/>
      <c r="E20" s="31" t="s">
        <v>26</v>
      </c>
      <c r="F20" s="49">
        <f>'Analyze Your Offer'!F20</f>
        <v>5000</v>
      </c>
      <c r="G20" s="58"/>
      <c r="H20" s="31" t="s">
        <v>80</v>
      </c>
      <c r="I20" s="49">
        <f>'Analyze Your Offer'!I20</f>
        <v>5000</v>
      </c>
      <c r="J20" s="58"/>
      <c r="K20" s="31" t="s">
        <v>81</v>
      </c>
      <c r="L20" s="37">
        <f>C25</f>
        <v>6755.666667</v>
      </c>
      <c r="M20" s="58"/>
      <c r="N20" s="31" t="s">
        <v>82</v>
      </c>
      <c r="O20" s="49">
        <f>L22</f>
        <v>1755.666667</v>
      </c>
      <c r="P20" s="58"/>
    </row>
    <row r="21">
      <c r="A21" s="1"/>
      <c r="B21" s="1"/>
      <c r="C21" s="1"/>
      <c r="D21" s="1"/>
      <c r="E21" s="16"/>
      <c r="F21" s="16"/>
      <c r="G21" s="16"/>
      <c r="H21" s="31" t="s">
        <v>83</v>
      </c>
      <c r="I21" s="59" t="str">
        <f>'Analyze Your Offer'!I21</f>
        <v>3 months</v>
      </c>
      <c r="J21" s="58"/>
      <c r="K21" s="31" t="s">
        <v>80</v>
      </c>
      <c r="L21" s="49">
        <f>F20</f>
        <v>5000</v>
      </c>
      <c r="M21" s="58"/>
      <c r="N21" s="31" t="s">
        <v>84</v>
      </c>
      <c r="O21" s="37">
        <f>F25</f>
        <v>1000</v>
      </c>
      <c r="P21" s="58"/>
    </row>
    <row r="22">
      <c r="A22" s="1"/>
      <c r="B22" s="19" t="s">
        <v>34</v>
      </c>
      <c r="C22" s="15"/>
      <c r="D22" s="1"/>
      <c r="E22" s="19" t="s">
        <v>84</v>
      </c>
      <c r="F22" s="15"/>
      <c r="G22" s="16"/>
      <c r="H22" s="16"/>
      <c r="I22" s="16"/>
      <c r="J22" s="16"/>
      <c r="K22" s="60" t="s">
        <v>85</v>
      </c>
      <c r="L22" s="61">
        <f>L20-L21</f>
        <v>1755.666667</v>
      </c>
      <c r="M22" s="58"/>
      <c r="N22" s="62" t="s">
        <v>86</v>
      </c>
      <c r="O22" s="61">
        <f>O20-O21</f>
        <v>755.6666667</v>
      </c>
      <c r="P22" s="58"/>
    </row>
    <row r="23">
      <c r="A23" s="1"/>
      <c r="B23" s="1"/>
      <c r="D23" s="1"/>
      <c r="E23" s="1"/>
      <c r="G23" s="16"/>
      <c r="H23" s="16"/>
      <c r="I23" s="16"/>
      <c r="J23" s="16"/>
      <c r="K23" s="8"/>
      <c r="L23" s="8"/>
      <c r="M23" s="16"/>
      <c r="N23" s="8"/>
      <c r="O23" s="8"/>
      <c r="P23" s="1"/>
    </row>
    <row r="24">
      <c r="A24" s="1"/>
      <c r="B24" s="31" t="s">
        <v>21</v>
      </c>
      <c r="C24" s="49">
        <f>'Summarize Your 2nd Offer'!C24</f>
        <v>81068</v>
      </c>
      <c r="D24" s="58"/>
      <c r="E24" s="31" t="s">
        <v>21</v>
      </c>
      <c r="F24" s="49">
        <f>'Analyze Your Offer'!F24</f>
        <v>12000</v>
      </c>
      <c r="G24" s="58"/>
      <c r="H24" s="16"/>
      <c r="I24" s="16"/>
      <c r="J24" s="16"/>
      <c r="K24" s="16"/>
      <c r="L24" s="16"/>
      <c r="M24" s="16"/>
      <c r="N24" s="16"/>
      <c r="O24" s="16"/>
      <c r="P24" s="16"/>
    </row>
    <row r="25">
      <c r="A25" s="1"/>
      <c r="B25" s="31" t="s">
        <v>26</v>
      </c>
      <c r="C25" s="49">
        <f>'Summarize Your 2nd Offer'!C25</f>
        <v>6755.666667</v>
      </c>
      <c r="D25" s="58"/>
      <c r="E25" s="31" t="s">
        <v>26</v>
      </c>
      <c r="F25" s="49">
        <f>'Analyze Your Offer'!F25</f>
        <v>1000</v>
      </c>
      <c r="G25" s="58"/>
      <c r="H25" s="16"/>
      <c r="I25" s="16"/>
      <c r="J25" s="16"/>
      <c r="K25" s="19" t="s">
        <v>88</v>
      </c>
      <c r="L25" s="15"/>
      <c r="M25" s="16"/>
      <c r="N25" s="19" t="s">
        <v>89</v>
      </c>
      <c r="O25" s="15"/>
      <c r="P25" s="58"/>
    </row>
    <row r="26">
      <c r="A26" s="1"/>
      <c r="B26" s="1"/>
      <c r="C26" s="1"/>
      <c r="D26" s="1"/>
      <c r="E26" s="16"/>
      <c r="F26" s="16"/>
      <c r="G26" s="16"/>
      <c r="H26" s="16"/>
      <c r="I26" s="16"/>
      <c r="J26" s="16"/>
      <c r="K26" s="31" t="s">
        <v>81</v>
      </c>
      <c r="L26" s="37">
        <f>C24</f>
        <v>81068</v>
      </c>
      <c r="M26" s="58"/>
      <c r="N26" s="31" t="s">
        <v>82</v>
      </c>
      <c r="O26" s="37">
        <f>L28</f>
        <v>21068</v>
      </c>
      <c r="P26" s="58"/>
    </row>
    <row r="27">
      <c r="A27" s="1"/>
      <c r="B27" s="1"/>
      <c r="C27" s="1"/>
      <c r="D27" s="1"/>
      <c r="E27" s="16"/>
      <c r="F27" s="16"/>
      <c r="G27" s="16"/>
      <c r="H27" s="16"/>
      <c r="I27" s="16"/>
      <c r="J27" s="16"/>
      <c r="K27" s="31" t="s">
        <v>80</v>
      </c>
      <c r="L27" s="49">
        <f>F19</f>
        <v>60000</v>
      </c>
      <c r="M27" s="58"/>
      <c r="N27" s="31" t="s">
        <v>84</v>
      </c>
      <c r="O27" s="49">
        <f>F24</f>
        <v>12000</v>
      </c>
      <c r="P27" s="58"/>
    </row>
    <row r="28">
      <c r="A28" s="1"/>
      <c r="B28" s="1"/>
      <c r="C28" s="1"/>
      <c r="D28" s="1"/>
      <c r="E28" s="16"/>
      <c r="F28" s="16"/>
      <c r="G28" s="16"/>
      <c r="H28" s="16"/>
      <c r="I28" s="16"/>
      <c r="J28" s="16"/>
      <c r="K28" s="60" t="s">
        <v>85</v>
      </c>
      <c r="L28" s="61">
        <f>L26-L27</f>
        <v>21068</v>
      </c>
      <c r="M28" s="70"/>
      <c r="N28" s="62" t="s">
        <v>86</v>
      </c>
      <c r="O28" s="61">
        <f>O26-O27</f>
        <v>9068</v>
      </c>
      <c r="P28" s="1"/>
    </row>
    <row r="29">
      <c r="A29" s="1"/>
      <c r="B29" s="1"/>
      <c r="C29" s="1"/>
      <c r="D29" s="1"/>
      <c r="E29" s="16"/>
      <c r="F29" s="16"/>
      <c r="G29" s="16"/>
      <c r="H29" s="16"/>
      <c r="I29" s="16"/>
      <c r="J29" s="16"/>
      <c r="K29" s="8"/>
      <c r="L29" s="8"/>
      <c r="M29" s="71"/>
      <c r="N29" s="8"/>
      <c r="O29" s="8"/>
      <c r="P29" s="1"/>
    </row>
    <row r="30">
      <c r="A30" s="1"/>
      <c r="B30" s="1"/>
      <c r="C30" s="1"/>
      <c r="D30" s="3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"/>
    </row>
    <row r="31">
      <c r="A31" s="1"/>
      <c r="B31" s="1"/>
      <c r="C31" s="1"/>
      <c r="D31" s="1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"/>
    </row>
    <row r="32">
      <c r="A32" s="1"/>
      <c r="B32" s="1"/>
      <c r="C32" s="1"/>
      <c r="D32" s="3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"/>
    </row>
    <row r="33">
      <c r="A33" s="1"/>
      <c r="B33" s="1"/>
      <c r="C33" s="1"/>
      <c r="D33" s="1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"/>
    </row>
    <row r="34">
      <c r="A34" s="1"/>
      <c r="B34" s="1"/>
      <c r="C34" s="1"/>
      <c r="D34" s="1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"/>
    </row>
    <row r="35">
      <c r="A35" s="1"/>
      <c r="B35" s="1"/>
      <c r="C35" s="1"/>
      <c r="D35" s="1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"/>
    </row>
    <row r="36">
      <c r="A36" s="1"/>
      <c r="B36" s="1"/>
      <c r="C36" s="1"/>
      <c r="D36" s="1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"/>
    </row>
    <row r="37">
      <c r="A37" s="1"/>
      <c r="B37" s="1"/>
      <c r="C37" s="1"/>
      <c r="D37" s="1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"/>
    </row>
    <row r="38">
      <c r="A38" s="1"/>
      <c r="B38" s="1"/>
      <c r="C38" s="1"/>
      <c r="D38" s="1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"/>
    </row>
    <row r="39">
      <c r="A39" s="1"/>
      <c r="B39" s="1"/>
      <c r="C39" s="1"/>
      <c r="D39" s="1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</row>
    <row r="1003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</row>
    <row r="1004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</row>
    <row r="1005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</row>
    <row r="1006">
      <c r="A1006" s="65"/>
      <c r="B1006" s="65"/>
      <c r="C1006" s="65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</row>
    <row r="1007">
      <c r="A1007" s="65"/>
      <c r="B1007" s="65"/>
      <c r="C1007" s="65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</row>
    <row r="1008">
      <c r="A1008" s="65"/>
      <c r="B1008" s="65"/>
      <c r="C1008" s="65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</row>
    <row r="1009">
      <c r="A1009" s="65"/>
      <c r="B1009" s="65"/>
      <c r="C1009" s="65"/>
      <c r="D1009" s="65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</row>
    <row r="1010">
      <c r="A1010" s="65"/>
      <c r="B1010" s="65"/>
      <c r="C1010" s="65"/>
      <c r="D1010" s="65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</row>
    <row r="1011">
      <c r="A1011" s="65"/>
      <c r="B1011" s="65"/>
      <c r="C1011" s="65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</row>
    <row r="1012">
      <c r="A1012" s="65"/>
      <c r="B1012" s="65"/>
      <c r="C1012" s="65"/>
      <c r="D1012" s="65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</row>
    <row r="1013">
      <c r="A1013" s="65"/>
      <c r="B1013" s="65"/>
      <c r="C1013" s="65"/>
      <c r="D1013" s="65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</row>
    <row r="1014">
      <c r="A1014" s="65"/>
      <c r="B1014" s="65"/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</row>
    <row r="1015">
      <c r="A1015" s="65"/>
      <c r="B1015" s="65"/>
      <c r="C1015" s="65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</row>
  </sheetData>
  <mergeCells count="31">
    <mergeCell ref="B2:O6"/>
    <mergeCell ref="B8:O9"/>
    <mergeCell ref="B11:O13"/>
    <mergeCell ref="B15:C15"/>
    <mergeCell ref="E15:F15"/>
    <mergeCell ref="H15:I15"/>
    <mergeCell ref="K15:O15"/>
    <mergeCell ref="K17:L17"/>
    <mergeCell ref="K19:L19"/>
    <mergeCell ref="N19:O19"/>
    <mergeCell ref="B17:C17"/>
    <mergeCell ref="E17:F17"/>
    <mergeCell ref="H17:I17"/>
    <mergeCell ref="N17:O17"/>
    <mergeCell ref="B18:C18"/>
    <mergeCell ref="E18:F18"/>
    <mergeCell ref="H18:I18"/>
    <mergeCell ref="L22:L23"/>
    <mergeCell ref="K25:L25"/>
    <mergeCell ref="N25:O25"/>
    <mergeCell ref="K28:K29"/>
    <mergeCell ref="L28:L29"/>
    <mergeCell ref="N28:N29"/>
    <mergeCell ref="O28:O29"/>
    <mergeCell ref="B22:C22"/>
    <mergeCell ref="E22:F22"/>
    <mergeCell ref="K22:K23"/>
    <mergeCell ref="N22:N23"/>
    <mergeCell ref="O22:O23"/>
    <mergeCell ref="B23:C23"/>
    <mergeCell ref="E23:F23"/>
  </mergeCells>
  <conditionalFormatting sqref="L22 O22 L28 O28">
    <cfRule type="cellIs" dxfId="0" priority="1" operator="lessThan">
      <formula>0</formula>
    </cfRule>
  </conditionalFormatting>
  <conditionalFormatting sqref="L22 O22 L28 O28">
    <cfRule type="cellIs" dxfId="1" priority="2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.0"/>
    <col customWidth="1" min="3" max="3" width="2.13"/>
    <col customWidth="1" min="4" max="4" width="15.13"/>
    <col customWidth="1" min="5" max="5" width="16.38"/>
    <col customWidth="1" min="6" max="6" width="3.25"/>
    <col customWidth="1" min="7" max="7" width="15.13"/>
    <col customWidth="1" min="8" max="8" width="16.38"/>
    <col customWidth="1" min="9" max="9" width="5.38"/>
    <col customWidth="1" min="10" max="11" width="3.88"/>
    <col customWidth="1" min="12" max="12" width="15.13"/>
    <col customWidth="1" min="13" max="13" width="16.63"/>
    <col customWidth="1" min="14" max="14" width="3.5"/>
    <col customWidth="1" min="15" max="15" width="15.13"/>
    <col customWidth="1" min="16" max="16" width="16.38"/>
    <col customWidth="1" min="17" max="17" width="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6"/>
      <c r="K1" s="1"/>
      <c r="L1" s="1"/>
      <c r="M1" s="1"/>
      <c r="N1" s="1"/>
      <c r="O1" s="1"/>
      <c r="P1" s="1"/>
      <c r="Q1" s="1"/>
      <c r="R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</row>
    <row r="3">
      <c r="A3" s="1"/>
      <c r="B3" s="5"/>
      <c r="Q3" s="6"/>
      <c r="R3" s="1"/>
    </row>
    <row r="4">
      <c r="A4" s="1"/>
      <c r="B4" s="5"/>
      <c r="Q4" s="6"/>
      <c r="R4" s="1"/>
    </row>
    <row r="5">
      <c r="A5" s="1"/>
      <c r="B5" s="5"/>
      <c r="Q5" s="6"/>
      <c r="R5" s="1"/>
    </row>
    <row r="6">
      <c r="A6" s="1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  <c r="R6" s="1"/>
    </row>
    <row r="7">
      <c r="A7" s="1"/>
      <c r="B7" s="1"/>
      <c r="C7" s="1"/>
      <c r="D7" s="1"/>
      <c r="E7" s="1"/>
      <c r="F7" s="1"/>
      <c r="G7" s="1"/>
      <c r="H7" s="1"/>
      <c r="I7" s="1"/>
      <c r="J7" s="16"/>
      <c r="K7" s="1"/>
      <c r="L7" s="1"/>
      <c r="M7" s="1"/>
      <c r="N7" s="1"/>
      <c r="O7" s="1"/>
      <c r="P7" s="1"/>
      <c r="Q7" s="1"/>
      <c r="R7" s="1"/>
    </row>
    <row r="8">
      <c r="A8" s="1"/>
      <c r="B8" s="12" t="s">
        <v>96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1"/>
    </row>
    <row r="9">
      <c r="A9" s="1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6"/>
      <c r="K10" s="1"/>
      <c r="L10" s="1"/>
      <c r="M10" s="1"/>
      <c r="N10" s="1"/>
      <c r="O10" s="1"/>
      <c r="P10" s="1"/>
      <c r="Q10" s="1"/>
      <c r="R10" s="1"/>
    </row>
    <row r="11">
      <c r="A11" s="1"/>
      <c r="B11" s="56" t="s">
        <v>97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1"/>
    </row>
    <row r="12">
      <c r="A12" s="1"/>
      <c r="B12" s="5"/>
      <c r="Q12" s="6"/>
      <c r="R12" s="1"/>
    </row>
    <row r="13">
      <c r="A13" s="1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6"/>
      <c r="K14" s="72"/>
      <c r="L14" s="1"/>
      <c r="M14" s="1"/>
      <c r="N14" s="1"/>
      <c r="O14" s="1"/>
      <c r="P14" s="1"/>
      <c r="Q14" s="1"/>
      <c r="R14" s="1"/>
    </row>
    <row r="15">
      <c r="A15" s="1"/>
      <c r="B15" s="1"/>
      <c r="C15" s="1"/>
      <c r="D15" s="73" t="s">
        <v>98</v>
      </c>
      <c r="E15" s="18"/>
      <c r="F15" s="18"/>
      <c r="G15" s="18"/>
      <c r="H15" s="18"/>
      <c r="I15" s="15"/>
      <c r="J15" s="16"/>
      <c r="K15" s="74"/>
      <c r="L15" s="73" t="s">
        <v>99</v>
      </c>
      <c r="M15" s="18"/>
      <c r="N15" s="18"/>
      <c r="O15" s="18"/>
      <c r="P15" s="18"/>
      <c r="Q15" s="15"/>
      <c r="R15" s="1"/>
    </row>
    <row r="16">
      <c r="A16" s="1"/>
      <c r="B16" s="1"/>
      <c r="C16" s="1"/>
      <c r="D16" s="16"/>
      <c r="E16" s="16"/>
      <c r="F16" s="16"/>
      <c r="G16" s="16"/>
      <c r="H16" s="16"/>
      <c r="I16" s="16"/>
      <c r="J16" s="16"/>
      <c r="K16" s="74"/>
      <c r="L16" s="16"/>
      <c r="M16" s="16"/>
      <c r="N16" s="16"/>
      <c r="O16" s="16"/>
      <c r="P16" s="16"/>
      <c r="Q16" s="16"/>
      <c r="R16" s="1"/>
    </row>
    <row r="17">
      <c r="A17" s="1"/>
      <c r="B17" s="75" t="s">
        <v>100</v>
      </c>
      <c r="C17" s="1"/>
      <c r="D17" s="57" t="s">
        <v>73</v>
      </c>
      <c r="E17" s="15"/>
      <c r="F17" s="16"/>
      <c r="G17" s="57" t="s">
        <v>74</v>
      </c>
      <c r="H17" s="18"/>
      <c r="I17" s="15"/>
      <c r="J17" s="16"/>
      <c r="K17" s="74"/>
      <c r="L17" s="57" t="s">
        <v>73</v>
      </c>
      <c r="M17" s="15"/>
      <c r="N17" s="16"/>
      <c r="O17" s="57" t="s">
        <v>74</v>
      </c>
      <c r="P17" s="18"/>
      <c r="Q17" s="15"/>
      <c r="R17" s="1"/>
    </row>
    <row r="18">
      <c r="A18" s="1"/>
      <c r="B18" s="76"/>
      <c r="C18" s="1"/>
      <c r="D18" s="16"/>
      <c r="E18" s="16"/>
      <c r="F18" s="16"/>
      <c r="G18" s="16"/>
      <c r="H18" s="16"/>
      <c r="I18" s="16"/>
      <c r="J18" s="16"/>
      <c r="K18" s="74"/>
      <c r="L18" s="16"/>
      <c r="M18" s="16"/>
      <c r="N18" s="16"/>
      <c r="O18" s="16"/>
      <c r="P18" s="16"/>
      <c r="Q18" s="16"/>
      <c r="R18" s="1"/>
    </row>
    <row r="19">
      <c r="A19" s="1"/>
      <c r="B19" s="76"/>
      <c r="C19" s="1"/>
      <c r="D19" s="19" t="s">
        <v>78</v>
      </c>
      <c r="E19" s="15"/>
      <c r="F19" s="16"/>
      <c r="G19" s="19" t="s">
        <v>79</v>
      </c>
      <c r="H19" s="18"/>
      <c r="I19" s="15"/>
      <c r="J19" s="16"/>
      <c r="K19" s="77"/>
      <c r="L19" s="19" t="s">
        <v>78</v>
      </c>
      <c r="M19" s="15"/>
      <c r="N19" s="16"/>
      <c r="O19" s="19" t="s">
        <v>79</v>
      </c>
      <c r="P19" s="18"/>
      <c r="Q19" s="15"/>
      <c r="R19" s="1"/>
    </row>
    <row r="20">
      <c r="A20" s="1"/>
      <c r="B20" s="76"/>
      <c r="C20" s="1"/>
      <c r="D20" s="31" t="s">
        <v>81</v>
      </c>
      <c r="E20" s="37">
        <f>'Analyze Your Offer'!L20</f>
        <v>5575.416667</v>
      </c>
      <c r="F20" s="58"/>
      <c r="G20" s="31" t="s">
        <v>82</v>
      </c>
      <c r="H20" s="78">
        <f>'Analyze Your Offer'!O20</f>
        <v>575.4166667</v>
      </c>
      <c r="I20" s="15"/>
      <c r="J20" s="16"/>
      <c r="K20" s="77"/>
      <c r="L20" s="31" t="s">
        <v>81</v>
      </c>
      <c r="M20" s="37">
        <f>'Analyze Your 2nd Offer'!L20</f>
        <v>6755.666667</v>
      </c>
      <c r="N20" s="58"/>
      <c r="O20" s="31" t="s">
        <v>82</v>
      </c>
      <c r="P20" s="78">
        <f>'Analyze Your 2nd Offer'!O20</f>
        <v>1755.666667</v>
      </c>
      <c r="Q20" s="15"/>
      <c r="R20" s="58"/>
    </row>
    <row r="21">
      <c r="A21" s="1"/>
      <c r="B21" s="76"/>
      <c r="C21" s="1"/>
      <c r="D21" s="31" t="s">
        <v>80</v>
      </c>
      <c r="E21" s="49">
        <f>'Analyze Your Offer'!L21</f>
        <v>5000</v>
      </c>
      <c r="F21" s="58"/>
      <c r="G21" s="31" t="s">
        <v>84</v>
      </c>
      <c r="H21" s="79">
        <f>'Analyze Your Offer'!O21</f>
        <v>1000</v>
      </c>
      <c r="I21" s="15"/>
      <c r="J21" s="16"/>
      <c r="K21" s="77"/>
      <c r="L21" s="31" t="s">
        <v>80</v>
      </c>
      <c r="M21" s="49">
        <f>'Analyze Your 2nd Offer'!L21</f>
        <v>5000</v>
      </c>
      <c r="N21" s="58"/>
      <c r="O21" s="31" t="s">
        <v>84</v>
      </c>
      <c r="P21" s="79">
        <f>'Analyze Your 2nd Offer'!O21</f>
        <v>1000</v>
      </c>
      <c r="Q21" s="15"/>
      <c r="R21" s="58"/>
    </row>
    <row r="22">
      <c r="A22" s="1"/>
      <c r="B22" s="76"/>
      <c r="C22" s="1"/>
      <c r="D22" s="60" t="s">
        <v>85</v>
      </c>
      <c r="E22" s="61">
        <f>E20-E21</f>
        <v>575.4166667</v>
      </c>
      <c r="F22" s="70"/>
      <c r="G22" s="62" t="s">
        <v>86</v>
      </c>
      <c r="H22" s="80">
        <f>H20-H21</f>
        <v>-424.5833333</v>
      </c>
      <c r="I22" s="4"/>
      <c r="J22" s="16"/>
      <c r="K22" s="81"/>
      <c r="L22" s="60" t="s">
        <v>85</v>
      </c>
      <c r="M22" s="61">
        <f>M20-M21</f>
        <v>1755.666667</v>
      </c>
      <c r="N22" s="70"/>
      <c r="O22" s="62" t="s">
        <v>86</v>
      </c>
      <c r="P22" s="80">
        <f>P20-P21</f>
        <v>755.6666667</v>
      </c>
      <c r="Q22" s="4"/>
      <c r="R22" s="58"/>
    </row>
    <row r="23" ht="24.0" customHeight="1">
      <c r="A23" s="1"/>
      <c r="B23" s="76"/>
      <c r="C23" s="1"/>
      <c r="D23" s="8"/>
      <c r="E23" s="8"/>
      <c r="F23" s="71"/>
      <c r="G23" s="8"/>
      <c r="H23" s="9"/>
      <c r="I23" s="11"/>
      <c r="J23" s="16"/>
      <c r="K23" s="82"/>
      <c r="L23" s="8"/>
      <c r="M23" s="8"/>
      <c r="N23" s="71"/>
      <c r="O23" s="8"/>
      <c r="P23" s="9"/>
      <c r="Q23" s="11"/>
      <c r="R23" s="1"/>
    </row>
    <row r="24">
      <c r="A24" s="1"/>
      <c r="B24" s="76"/>
      <c r="C24" s="1"/>
      <c r="D24" s="1"/>
      <c r="E24" s="1"/>
      <c r="F24" s="1"/>
      <c r="G24" s="1"/>
      <c r="H24" s="1"/>
      <c r="I24" s="1"/>
      <c r="J24" s="16"/>
      <c r="K24" s="72"/>
      <c r="L24" s="1"/>
      <c r="M24" s="1"/>
      <c r="N24" s="1"/>
      <c r="O24" s="1"/>
      <c r="P24" s="1"/>
      <c r="Q24" s="1"/>
      <c r="R24" s="1"/>
    </row>
    <row r="25">
      <c r="A25" s="1"/>
      <c r="B25" s="76"/>
      <c r="C25" s="1"/>
      <c r="D25" s="19" t="s">
        <v>88</v>
      </c>
      <c r="E25" s="15"/>
      <c r="F25" s="16"/>
      <c r="G25" s="19" t="s">
        <v>89</v>
      </c>
      <c r="H25" s="18"/>
      <c r="I25" s="15"/>
      <c r="J25" s="16"/>
      <c r="K25" s="77"/>
      <c r="L25" s="19" t="s">
        <v>88</v>
      </c>
      <c r="M25" s="15"/>
      <c r="N25" s="16"/>
      <c r="O25" s="19" t="s">
        <v>89</v>
      </c>
      <c r="P25" s="18"/>
      <c r="Q25" s="15"/>
      <c r="R25" s="58"/>
    </row>
    <row r="26">
      <c r="A26" s="1"/>
      <c r="B26" s="76"/>
      <c r="C26" s="1"/>
      <c r="D26" s="31" t="s">
        <v>81</v>
      </c>
      <c r="E26" s="37">
        <f>'Analyze Your Offer'!L26</f>
        <v>66905</v>
      </c>
      <c r="F26" s="58"/>
      <c r="G26" s="31" t="s">
        <v>82</v>
      </c>
      <c r="H26" s="79">
        <f>'Analyze Your Offer'!O26</f>
        <v>6905</v>
      </c>
      <c r="I26" s="15"/>
      <c r="J26" s="16"/>
      <c r="K26" s="77"/>
      <c r="L26" s="31" t="s">
        <v>81</v>
      </c>
      <c r="M26" s="37">
        <f>'Analyze Your 2nd Offer'!L26</f>
        <v>81068</v>
      </c>
      <c r="N26" s="58"/>
      <c r="O26" s="31" t="s">
        <v>82</v>
      </c>
      <c r="P26" s="79">
        <f>'Analyze Your 2nd Offer'!O26</f>
        <v>21068</v>
      </c>
      <c r="Q26" s="15"/>
      <c r="R26" s="58"/>
    </row>
    <row r="27">
      <c r="A27" s="1"/>
      <c r="B27" s="76"/>
      <c r="C27" s="1"/>
      <c r="D27" s="31" t="s">
        <v>80</v>
      </c>
      <c r="E27" s="49">
        <f>'Analyze Your Offer'!L27</f>
        <v>60000</v>
      </c>
      <c r="F27" s="58"/>
      <c r="G27" s="31" t="s">
        <v>84</v>
      </c>
      <c r="H27" s="78">
        <f>'Analyze Your Offer'!O27</f>
        <v>12000</v>
      </c>
      <c r="I27" s="15"/>
      <c r="J27" s="16"/>
      <c r="K27" s="77"/>
      <c r="L27" s="31" t="s">
        <v>80</v>
      </c>
      <c r="M27" s="49">
        <f>'Analyze Your 2nd Offer'!L27</f>
        <v>60000</v>
      </c>
      <c r="N27" s="58"/>
      <c r="O27" s="31" t="s">
        <v>84</v>
      </c>
      <c r="P27" s="78">
        <f>'Analyze Your 2nd Offer'!O27</f>
        <v>12000</v>
      </c>
      <c r="Q27" s="15"/>
      <c r="R27" s="58"/>
    </row>
    <row r="28">
      <c r="A28" s="1"/>
      <c r="B28" s="76"/>
      <c r="C28" s="1"/>
      <c r="D28" s="60" t="s">
        <v>85</v>
      </c>
      <c r="E28" s="61">
        <f>E26-E27</f>
        <v>6905</v>
      </c>
      <c r="F28" s="70"/>
      <c r="G28" s="60" t="s">
        <v>86</v>
      </c>
      <c r="H28" s="80">
        <f>H26-H27</f>
        <v>-5095</v>
      </c>
      <c r="I28" s="4"/>
      <c r="J28" s="16"/>
      <c r="K28" s="81"/>
      <c r="L28" s="60" t="s">
        <v>85</v>
      </c>
      <c r="M28" s="61">
        <f>M26-M27</f>
        <v>21068</v>
      </c>
      <c r="N28" s="70"/>
      <c r="O28" s="60" t="s">
        <v>86</v>
      </c>
      <c r="P28" s="80">
        <f>P26-P27</f>
        <v>9068</v>
      </c>
      <c r="Q28" s="4"/>
      <c r="R28" s="1"/>
    </row>
    <row r="29" ht="24.0" customHeight="1">
      <c r="A29" s="1"/>
      <c r="B29" s="8"/>
      <c r="C29" s="1"/>
      <c r="D29" s="8"/>
      <c r="E29" s="8"/>
      <c r="F29" s="71"/>
      <c r="G29" s="8"/>
      <c r="H29" s="9"/>
      <c r="I29" s="11"/>
      <c r="J29" s="16"/>
      <c r="K29" s="82"/>
      <c r="L29" s="8"/>
      <c r="M29" s="8"/>
      <c r="N29" s="71"/>
      <c r="O29" s="8"/>
      <c r="P29" s="9"/>
      <c r="Q29" s="11"/>
      <c r="R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6"/>
      <c r="K30" s="72"/>
      <c r="L30" s="1"/>
      <c r="M30" s="1"/>
      <c r="N30" s="1"/>
      <c r="O30" s="1"/>
      <c r="P30" s="1"/>
      <c r="Q30" s="1"/>
      <c r="R30" s="1"/>
    </row>
    <row r="31">
      <c r="A31" s="1"/>
      <c r="B31" s="75" t="s">
        <v>101</v>
      </c>
      <c r="C31" s="1"/>
      <c r="D31" s="19" t="s">
        <v>102</v>
      </c>
      <c r="E31" s="15"/>
      <c r="F31" s="1"/>
      <c r="G31" s="19" t="s">
        <v>103</v>
      </c>
      <c r="H31" s="18"/>
      <c r="I31" s="15"/>
      <c r="J31" s="16"/>
      <c r="K31" s="72"/>
      <c r="L31" s="19" t="s">
        <v>102</v>
      </c>
      <c r="M31" s="15"/>
      <c r="N31" s="1"/>
      <c r="O31" s="19" t="s">
        <v>103</v>
      </c>
      <c r="P31" s="18"/>
      <c r="Q31" s="15"/>
      <c r="R31" s="1"/>
    </row>
    <row r="32">
      <c r="A32" s="1"/>
      <c r="B32" s="76"/>
      <c r="C32" s="1"/>
      <c r="D32" s="83" t="str">
        <f t="array" ref="D32:D34">INDEX(offer_01_terms_header,0,1)</f>
        <v>Job Title:</v>
      </c>
      <c r="E32" s="84" t="str">
        <f t="array" ref="E32:E34">INDEX(offer_01_terms_header,0,3)</f>
        <v>Marketing Director</v>
      </c>
      <c r="F32" s="1"/>
      <c r="G32" s="44" t="s">
        <v>104</v>
      </c>
      <c r="H32" s="3"/>
      <c r="I32" s="4"/>
      <c r="J32" s="16"/>
      <c r="K32" s="72"/>
      <c r="L32" s="83" t="str">
        <f t="array" ref="L32:L34">INDEX(offer_02_terms_header,0,1)</f>
        <v>Job Title:</v>
      </c>
      <c r="M32" s="84" t="str">
        <f t="array" ref="M32:M34">INDEX(offer_02_terms_header,0,3)</f>
        <v>Sr. Marketing Director</v>
      </c>
      <c r="N32" s="1"/>
      <c r="O32" s="44" t="s">
        <v>105</v>
      </c>
      <c r="P32" s="3"/>
      <c r="Q32" s="4"/>
      <c r="R32" s="1"/>
    </row>
    <row r="33">
      <c r="A33" s="1"/>
      <c r="B33" s="76"/>
      <c r="C33" s="1"/>
      <c r="D33" s="83" t="s">
        <v>19</v>
      </c>
      <c r="E33" s="84" t="s">
        <v>20</v>
      </c>
      <c r="F33" s="1"/>
      <c r="G33" s="5"/>
      <c r="I33" s="6"/>
      <c r="J33" s="16"/>
      <c r="K33" s="72"/>
      <c r="L33" s="83" t="s">
        <v>19</v>
      </c>
      <c r="M33" s="84" t="s">
        <v>93</v>
      </c>
      <c r="N33" s="1"/>
      <c r="O33" s="5"/>
      <c r="Q33" s="6"/>
      <c r="R33" s="1"/>
    </row>
    <row r="34">
      <c r="A34" s="1"/>
      <c r="B34" s="76"/>
      <c r="C34" s="1"/>
      <c r="D34" s="83" t="s">
        <v>25</v>
      </c>
      <c r="E34" s="85">
        <v>44044.0</v>
      </c>
      <c r="F34" s="1"/>
      <c r="G34" s="9"/>
      <c r="H34" s="10"/>
      <c r="I34" s="11"/>
      <c r="J34" s="16"/>
      <c r="K34" s="72"/>
      <c r="L34" s="83" t="s">
        <v>25</v>
      </c>
      <c r="M34" s="85">
        <v>44044.0</v>
      </c>
      <c r="N34" s="1"/>
      <c r="O34" s="9"/>
      <c r="P34" s="10"/>
      <c r="Q34" s="11"/>
      <c r="R34" s="1"/>
    </row>
    <row r="35">
      <c r="A35" s="1"/>
      <c r="B35" s="76"/>
      <c r="C35" s="1"/>
      <c r="D35" s="38" t="s">
        <v>2</v>
      </c>
      <c r="E35" s="38" t="s">
        <v>2</v>
      </c>
      <c r="F35" s="1"/>
      <c r="G35" s="1"/>
      <c r="H35" s="1"/>
      <c r="I35" s="1"/>
      <c r="J35" s="16"/>
      <c r="K35" s="72"/>
      <c r="L35" s="1"/>
      <c r="M35" s="1"/>
      <c r="N35" s="1"/>
      <c r="O35" s="1"/>
      <c r="P35" s="1"/>
      <c r="Q35" s="1"/>
      <c r="R35" s="1"/>
    </row>
    <row r="36">
      <c r="A36" s="38"/>
      <c r="B36" s="76"/>
      <c r="C36" s="38" t="s">
        <v>2</v>
      </c>
      <c r="D36" s="19" t="s">
        <v>106</v>
      </c>
      <c r="E36" s="15"/>
      <c r="F36" s="1"/>
      <c r="G36" s="86" t="s">
        <v>107</v>
      </c>
      <c r="H36" s="87" t="str">
        <f>vlookup(G36,'Data Validation'!A:B,2,0)</f>
        <v>Individual Contributor
Independence</v>
      </c>
      <c r="I36" s="88" t="b">
        <v>0</v>
      </c>
      <c r="J36" s="16"/>
      <c r="K36" s="72"/>
      <c r="L36" s="19" t="s">
        <v>106</v>
      </c>
      <c r="M36" s="15"/>
      <c r="N36" s="1"/>
      <c r="O36" s="86" t="str">
        <f t="shared" ref="O36:P36" si="1">G36</f>
        <v>Autonomy</v>
      </c>
      <c r="P36" s="87" t="str">
        <f t="shared" si="1"/>
        <v>Individual Contributor
Independence</v>
      </c>
      <c r="Q36" s="89" t="b">
        <v>0</v>
      </c>
      <c r="R36" s="1"/>
    </row>
    <row r="37" ht="15.75" customHeight="1">
      <c r="A37" s="38"/>
      <c r="B37" s="76"/>
      <c r="C37" s="38"/>
      <c r="D37" s="90" t="str">
        <f>IFERROR(__xludf.DUMMYFUNCTION("IFERROR(FILTER(INDEX(offer_01_terms,0,2),INDEX(offer_01_terms,0,1)),"""")"),"Non-Compete")</f>
        <v>Non-Compete</v>
      </c>
      <c r="E37" s="6"/>
      <c r="F37" s="1"/>
      <c r="G37" s="5"/>
      <c r="H37" s="5"/>
      <c r="I37" s="76"/>
      <c r="J37" s="16"/>
      <c r="K37" s="72"/>
      <c r="L37" s="90" t="str">
        <f>IFERROR(__xludf.DUMMYFUNCTION("IFERROR(FILTER(INDEX(offer_02_terms,0,2),INDEX(offer_02_terms,0,1)),"""")"),"Non-Compete")</f>
        <v>Non-Compete</v>
      </c>
      <c r="M37" s="6"/>
      <c r="N37" s="1"/>
      <c r="O37" s="5"/>
      <c r="P37" s="5"/>
      <c r="Q37" s="76"/>
      <c r="R37" s="1"/>
    </row>
    <row r="38">
      <c r="A38" s="38"/>
      <c r="B38" s="76"/>
      <c r="C38" s="38"/>
      <c r="D38" s="91" t="str">
        <f>IFERROR(__xludf.DUMMYFUNCTION("""COMPUTED_VALUE"""),"Intellectual Property")</f>
        <v>Intellectual Property</v>
      </c>
      <c r="E38" s="6"/>
      <c r="F38" s="1"/>
      <c r="G38" s="9"/>
      <c r="H38" s="9"/>
      <c r="I38" s="8"/>
      <c r="J38" s="16"/>
      <c r="K38" s="72"/>
      <c r="L38" s="91" t="str">
        <f>IFERROR(__xludf.DUMMYFUNCTION("""COMPUTED_VALUE"""),"Severance")</f>
        <v>Severance</v>
      </c>
      <c r="M38" s="6"/>
      <c r="N38" s="1"/>
      <c r="O38" s="9"/>
      <c r="P38" s="9"/>
      <c r="Q38" s="8"/>
      <c r="R38" s="1"/>
    </row>
    <row r="39">
      <c r="A39" s="1"/>
      <c r="B39" s="76"/>
      <c r="C39" s="1"/>
      <c r="D39" s="91"/>
      <c r="E39" s="6"/>
      <c r="F39" s="1"/>
      <c r="G39" s="86" t="s">
        <v>108</v>
      </c>
      <c r="H39" s="87" t="str">
        <f>vlookup(G39,'Data Validation'!A:B,2,0)</f>
        <v>Designing
Creating
Building</v>
      </c>
      <c r="I39" s="89" t="b">
        <v>0</v>
      </c>
      <c r="J39" s="16"/>
      <c r="K39" s="72"/>
      <c r="L39" s="91"/>
      <c r="M39" s="6"/>
      <c r="N39" s="1"/>
      <c r="O39" s="86" t="s">
        <v>108</v>
      </c>
      <c r="P39" s="87" t="str">
        <f>H39</f>
        <v>Designing
Creating
Building</v>
      </c>
      <c r="Q39" s="89" t="b">
        <v>0</v>
      </c>
      <c r="R39" s="1"/>
    </row>
    <row r="40" ht="18.0" customHeight="1">
      <c r="A40" s="1"/>
      <c r="B40" s="76"/>
      <c r="C40" s="1"/>
      <c r="D40" s="92"/>
      <c r="E40" s="6"/>
      <c r="F40" s="1"/>
      <c r="G40" s="5"/>
      <c r="H40" s="5"/>
      <c r="I40" s="76"/>
      <c r="J40" s="16"/>
      <c r="K40" s="72"/>
      <c r="L40" s="92"/>
      <c r="M40" s="6"/>
      <c r="N40" s="1"/>
      <c r="O40" s="5"/>
      <c r="P40" s="5"/>
      <c r="Q40" s="76"/>
      <c r="R40" s="1"/>
    </row>
    <row r="41" ht="17.25" customHeight="1">
      <c r="A41" s="1"/>
      <c r="B41" s="76"/>
      <c r="C41" s="1"/>
      <c r="D41" s="91"/>
      <c r="E41" s="6"/>
      <c r="F41" s="1"/>
      <c r="G41" s="9"/>
      <c r="H41" s="9"/>
      <c r="I41" s="8"/>
      <c r="J41" s="16"/>
      <c r="K41" s="72"/>
      <c r="L41" s="91"/>
      <c r="M41" s="6"/>
      <c r="N41" s="1"/>
      <c r="O41" s="9"/>
      <c r="P41" s="9"/>
      <c r="Q41" s="8"/>
      <c r="R41" s="1"/>
    </row>
    <row r="42" ht="19.5" customHeight="1">
      <c r="A42" s="1"/>
      <c r="B42" s="76"/>
      <c r="C42" s="1"/>
      <c r="D42" s="91"/>
      <c r="E42" s="6"/>
      <c r="F42" s="1"/>
      <c r="G42" s="86" t="s">
        <v>109</v>
      </c>
      <c r="H42" s="87" t="str">
        <f>vlookup(G42,'Data Validation'!A:B,2,0)</f>
        <v>Collaboration
Community
Colleagues</v>
      </c>
      <c r="I42" s="88" t="b">
        <v>0</v>
      </c>
      <c r="J42" s="16"/>
      <c r="K42" s="72"/>
      <c r="L42" s="91"/>
      <c r="M42" s="6"/>
      <c r="N42" s="1"/>
      <c r="O42" s="86" t="str">
        <f t="shared" ref="O42:P42" si="2">G42</f>
        <v>Team</v>
      </c>
      <c r="P42" s="87" t="str">
        <f t="shared" si="2"/>
        <v>Collaboration
Community
Colleagues</v>
      </c>
      <c r="Q42" s="88" t="b">
        <v>0</v>
      </c>
      <c r="R42" s="1"/>
    </row>
    <row r="43">
      <c r="A43" s="1"/>
      <c r="B43" s="76"/>
      <c r="C43" s="1"/>
      <c r="D43" s="91"/>
      <c r="E43" s="6"/>
      <c r="F43" s="1"/>
      <c r="G43" s="5"/>
      <c r="H43" s="5"/>
      <c r="I43" s="76"/>
      <c r="J43" s="16"/>
      <c r="K43" s="72"/>
      <c r="L43" s="91"/>
      <c r="M43" s="6"/>
      <c r="N43" s="1"/>
      <c r="O43" s="5"/>
      <c r="P43" s="5"/>
      <c r="Q43" s="76"/>
      <c r="R43" s="1"/>
    </row>
    <row r="44">
      <c r="A44" s="1"/>
      <c r="B44" s="8"/>
      <c r="C44" s="1"/>
      <c r="D44" s="93"/>
      <c r="E44" s="11"/>
      <c r="F44" s="1"/>
      <c r="G44" s="9"/>
      <c r="H44" s="9"/>
      <c r="I44" s="8"/>
      <c r="J44" s="16"/>
      <c r="K44" s="72"/>
      <c r="L44" s="93"/>
      <c r="M44" s="11"/>
      <c r="N44" s="1"/>
      <c r="O44" s="9"/>
      <c r="P44" s="9"/>
      <c r="Q44" s="8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6"/>
      <c r="K45" s="72"/>
      <c r="L45" s="1"/>
      <c r="M45" s="1"/>
      <c r="N45" s="1"/>
      <c r="O45" s="16"/>
      <c r="P45" s="16"/>
      <c r="Q45" s="16"/>
      <c r="R45" s="1"/>
    </row>
    <row r="46">
      <c r="A46" s="1"/>
      <c r="B46" s="75" t="s">
        <v>110</v>
      </c>
      <c r="C46" s="1"/>
      <c r="D46" s="19" t="s">
        <v>5</v>
      </c>
      <c r="E46" s="94" t="s">
        <v>42</v>
      </c>
      <c r="F46" s="95"/>
      <c r="G46" s="96" t="s">
        <v>111</v>
      </c>
      <c r="H46" s="96" t="s">
        <v>112</v>
      </c>
      <c r="I46" s="15"/>
      <c r="J46" s="16"/>
      <c r="K46" s="97"/>
      <c r="L46" s="94" t="s">
        <v>5</v>
      </c>
      <c r="M46" s="94" t="s">
        <v>42</v>
      </c>
      <c r="N46" s="98"/>
      <c r="O46" s="99" t="s">
        <v>111</v>
      </c>
      <c r="P46" s="96" t="s">
        <v>112</v>
      </c>
      <c r="Q46" s="15"/>
      <c r="R46" s="1"/>
    </row>
    <row r="47">
      <c r="A47" s="1"/>
      <c r="B47" s="76"/>
      <c r="C47" s="1"/>
      <c r="D47" s="100" t="str">
        <f>IFERROR(__xludf.DUMMYFUNCTION("IFERROR(FILTER(INDEX(offer_01_benefits_variable,0,2),INDEX(offer_01_benefits_variable,0,1)),"""")"),"Commission")</f>
        <v>Commission</v>
      </c>
      <c r="E47" s="100" t="str">
        <f>IFERROR(__xludf.DUMMYFUNCTION("IFERROR(FILTER(INDEX(offer_01_benefits_equity,0,2),INDEX(offer_01_benefits_equity,0,1)),"""")"),"Options")</f>
        <v>Options</v>
      </c>
      <c r="F47" s="1"/>
      <c r="G47" s="101" t="str">
        <f>IFERROR(__xludf.DUMMYFUNCTION("IFERROR(FILTER(INDEX(offer_01_benefits_level_01,0,2),INDEX(offer_01_benefits_level_01,0,1)),"""")"),"Health Insurance")</f>
        <v>Health Insurance</v>
      </c>
      <c r="H47" s="102" t="str">
        <f>IFERROR(__xludf.DUMMYFUNCTION("IFERROR(FILTER(INDEX(offer_01_benefits_level_02,0,2),INDEX(offer_01_benefits_level_02,0,1)),"""")"),"Work From Home")</f>
        <v>Work From Home</v>
      </c>
      <c r="I47" s="4"/>
      <c r="J47" s="16"/>
      <c r="K47" s="72"/>
      <c r="L47" s="100" t="str">
        <f>IFERROR(__xludf.DUMMYFUNCTION("IFERROR(FILTER(INDEX(offer_02_benefits_variable,0,2),INDEX(offer_02_benefits_variable,0,1)),"""")"),"Commission")</f>
        <v>Commission</v>
      </c>
      <c r="M47" s="100" t="str">
        <f>IFERROR(__xludf.DUMMYFUNCTION("IFERROR(FILTER(INDEX(offer_02_benefits_equity,0,2),INDEX(offer_02_benefits_equity,0,1)),"""")"),"Stock")</f>
        <v>Stock</v>
      </c>
      <c r="N47" s="1"/>
      <c r="O47" s="101" t="str">
        <f>IFERROR(__xludf.DUMMYFUNCTION("IFERROR(FILTER(INDEX(offer_02_benefits_level_01,0,2),INDEX(offer_02_benefits_level_01,0,1)),"""")"),"Health Insurance")</f>
        <v>Health Insurance</v>
      </c>
      <c r="P47" s="102" t="str">
        <f>IFERROR(__xludf.DUMMYFUNCTION("IFERROR(FILTER(INDEX(offer_02_benefits_level_02,0,2),INDEX(offer_02_benefits_level_02,0,1)),"""")"),"Meals")</f>
        <v>Meals</v>
      </c>
      <c r="Q47" s="4"/>
      <c r="R47" s="16"/>
    </row>
    <row r="48">
      <c r="A48" s="1"/>
      <c r="B48" s="76"/>
      <c r="C48" s="1"/>
      <c r="D48" s="103" t="str">
        <f>IFERROR(__xludf.DUMMYFUNCTION("""COMPUTED_VALUE"""),"Hiring Bonus")</f>
        <v>Hiring Bonus</v>
      </c>
      <c r="E48" s="103"/>
      <c r="F48" s="1"/>
      <c r="G48" s="104" t="str">
        <f>IFERROR(__xludf.DUMMYFUNCTION("""COMPUTED_VALUE"""),"Dental Insurance")</f>
        <v>Dental Insurance</v>
      </c>
      <c r="H48" s="105" t="str">
        <f>IFERROR(__xludf.DUMMYFUNCTION("""COMPUTED_VALUE"""),"Modified Hours")</f>
        <v>Modified Hours</v>
      </c>
      <c r="I48" s="6"/>
      <c r="J48" s="16"/>
      <c r="K48" s="72"/>
      <c r="L48" s="103"/>
      <c r="M48" s="103"/>
      <c r="N48" s="1"/>
      <c r="O48" s="104" t="str">
        <f>IFERROR(__xludf.DUMMYFUNCTION("""COMPUTED_VALUE"""),"Life Insurance")</f>
        <v>Life Insurance</v>
      </c>
      <c r="P48" s="105" t="str">
        <f>IFERROR(__xludf.DUMMYFUNCTION("""COMPUTED_VALUE"""),"Cell Phone Reimbursement")</f>
        <v>Cell Phone Reimbursement</v>
      </c>
      <c r="Q48" s="6"/>
      <c r="R48" s="16"/>
    </row>
    <row r="49">
      <c r="A49" s="1"/>
      <c r="B49" s="76"/>
      <c r="C49" s="1"/>
      <c r="D49" s="103" t="str">
        <f>IFERROR(__xludf.DUMMYFUNCTION("""COMPUTED_VALUE"""),"Other Example")</f>
        <v>Other Example</v>
      </c>
      <c r="E49" s="103"/>
      <c r="F49" s="1"/>
      <c r="G49" s="104" t="str">
        <f>IFERROR(__xludf.DUMMYFUNCTION("""COMPUTED_VALUE"""),"Vision Insurance")</f>
        <v>Vision Insurance</v>
      </c>
      <c r="H49" s="105" t="str">
        <f>IFERROR(__xludf.DUMMYFUNCTION("""COMPUTED_VALUE"""),"Gym Membership")</f>
        <v>Gym Membership</v>
      </c>
      <c r="I49" s="6"/>
      <c r="J49" s="16"/>
      <c r="K49" s="72"/>
      <c r="L49" s="103"/>
      <c r="M49" s="103"/>
      <c r="N49" s="1"/>
      <c r="O49" s="104" t="str">
        <f>IFERROR(__xludf.DUMMYFUNCTION("""COMPUTED_VALUE"""),"401K")</f>
        <v>401K</v>
      </c>
      <c r="P49" s="105" t="str">
        <f>IFERROR(__xludf.DUMMYFUNCTION("""COMPUTED_VALUE"""),"Software Training")</f>
        <v>Software Training</v>
      </c>
      <c r="Q49" s="6"/>
      <c r="R49" s="16"/>
    </row>
    <row r="50">
      <c r="A50" s="1"/>
      <c r="B50" s="76"/>
      <c r="C50" s="1"/>
      <c r="D50" s="106"/>
      <c r="E50" s="103"/>
      <c r="F50" s="1"/>
      <c r="G50" s="104" t="str">
        <f>IFERROR(__xludf.DUMMYFUNCTION("""COMPUTED_VALUE"""),"401K")</f>
        <v>401K</v>
      </c>
      <c r="H50" s="105" t="str">
        <f>IFERROR(__xludf.DUMMYFUNCTION("""COMPUTED_VALUE"""),"Sabaticals")</f>
        <v>Sabaticals</v>
      </c>
      <c r="I50" s="6"/>
      <c r="J50" s="16"/>
      <c r="K50" s="72"/>
      <c r="L50" s="106"/>
      <c r="M50" s="103"/>
      <c r="N50" s="1"/>
      <c r="O50" s="104" t="str">
        <f>IFERROR(__xludf.DUMMYFUNCTION("""COMPUTED_VALUE"""),"Sick PTO")</f>
        <v>Sick PTO</v>
      </c>
      <c r="P50" s="105"/>
      <c r="Q50" s="6"/>
      <c r="R50" s="16"/>
    </row>
    <row r="51">
      <c r="A51" s="1"/>
      <c r="B51" s="76"/>
      <c r="C51" s="1"/>
      <c r="D51" s="103"/>
      <c r="E51" s="103"/>
      <c r="F51" s="1"/>
      <c r="G51" s="104" t="str">
        <f>IFERROR(__xludf.DUMMYFUNCTION("""COMPUTED_VALUE"""),"Sick PTO")</f>
        <v>Sick PTO</v>
      </c>
      <c r="H51" s="105" t="str">
        <f>IFERROR(__xludf.DUMMYFUNCTION("""COMPUTED_VALUE"""),"Certifications")</f>
        <v>Certifications</v>
      </c>
      <c r="I51" s="6"/>
      <c r="J51" s="16"/>
      <c r="K51" s="72"/>
      <c r="L51" s="103"/>
      <c r="M51" s="103"/>
      <c r="N51" s="1"/>
      <c r="O51" s="104" t="str">
        <f>IFERROR(__xludf.DUMMYFUNCTION("""COMPUTED_VALUE"""),"Parental Leave")</f>
        <v>Parental Leave</v>
      </c>
      <c r="P51" s="105"/>
      <c r="Q51" s="6"/>
      <c r="R51" s="16"/>
    </row>
    <row r="52">
      <c r="A52" s="1"/>
      <c r="B52" s="76"/>
      <c r="C52" s="1"/>
      <c r="D52" s="103"/>
      <c r="E52" s="103"/>
      <c r="F52" s="1"/>
      <c r="G52" s="104" t="str">
        <f>IFERROR(__xludf.DUMMYFUNCTION("""COMPUTED_VALUE"""),"Parental Leave")</f>
        <v>Parental Leave</v>
      </c>
      <c r="H52" s="105" t="str">
        <f>IFERROR(__xludf.DUMMYFUNCTION("""COMPUTED_VALUE"""),"HSA / FSA")</f>
        <v>HSA / FSA</v>
      </c>
      <c r="I52" s="6"/>
      <c r="J52" s="16"/>
      <c r="K52" s="72"/>
      <c r="L52" s="103"/>
      <c r="M52" s="103"/>
      <c r="N52" s="1"/>
      <c r="O52" s="104"/>
      <c r="P52" s="105"/>
      <c r="Q52" s="6"/>
      <c r="R52" s="16"/>
    </row>
    <row r="53">
      <c r="A53" s="1"/>
      <c r="B53" s="76"/>
      <c r="C53" s="1"/>
      <c r="D53" s="103"/>
      <c r="E53" s="103"/>
      <c r="F53" s="1"/>
      <c r="G53" s="104"/>
      <c r="H53" s="105"/>
      <c r="I53" s="6"/>
      <c r="J53" s="16"/>
      <c r="K53" s="72"/>
      <c r="L53" s="103"/>
      <c r="M53" s="103"/>
      <c r="N53" s="1"/>
      <c r="O53" s="104"/>
      <c r="P53" s="105"/>
      <c r="Q53" s="6"/>
      <c r="R53" s="16"/>
    </row>
    <row r="54">
      <c r="A54" s="1"/>
      <c r="B54" s="76"/>
      <c r="C54" s="1"/>
      <c r="D54" s="103"/>
      <c r="E54" s="103"/>
      <c r="F54" s="1"/>
      <c r="G54" s="104"/>
      <c r="H54" s="105"/>
      <c r="I54" s="6"/>
      <c r="J54" s="16"/>
      <c r="K54" s="72"/>
      <c r="L54" s="103"/>
      <c r="M54" s="103"/>
      <c r="N54" s="1"/>
      <c r="O54" s="104"/>
      <c r="P54" s="105"/>
      <c r="Q54" s="6"/>
      <c r="R54" s="1"/>
    </row>
    <row r="55">
      <c r="A55" s="1"/>
      <c r="B55" s="76"/>
      <c r="C55" s="1"/>
      <c r="D55" s="103"/>
      <c r="E55" s="103"/>
      <c r="F55" s="1"/>
      <c r="G55" s="104"/>
      <c r="H55" s="105"/>
      <c r="I55" s="6"/>
      <c r="J55" s="16"/>
      <c r="K55" s="72"/>
      <c r="L55" s="103"/>
      <c r="M55" s="103"/>
      <c r="N55" s="1"/>
      <c r="O55" s="104"/>
      <c r="P55" s="105"/>
      <c r="Q55" s="6"/>
      <c r="R55" s="1"/>
    </row>
    <row r="56">
      <c r="A56" s="1"/>
      <c r="B56" s="76"/>
      <c r="C56" s="1"/>
      <c r="D56" s="103"/>
      <c r="E56" s="103"/>
      <c r="F56" s="1"/>
      <c r="G56" s="104"/>
      <c r="H56" s="105"/>
      <c r="I56" s="6"/>
      <c r="J56" s="16"/>
      <c r="K56" s="72"/>
      <c r="L56" s="103"/>
      <c r="M56" s="103"/>
      <c r="N56" s="1"/>
      <c r="O56" s="104"/>
      <c r="P56" s="105"/>
      <c r="Q56" s="6"/>
      <c r="R56" s="1"/>
    </row>
    <row r="57">
      <c r="A57" s="1"/>
      <c r="B57" s="76"/>
      <c r="C57" s="1"/>
      <c r="D57" s="103"/>
      <c r="E57" s="103"/>
      <c r="F57" s="1"/>
      <c r="G57" s="104"/>
      <c r="H57" s="105"/>
      <c r="I57" s="6"/>
      <c r="J57" s="16"/>
      <c r="K57" s="72"/>
      <c r="L57" s="103"/>
      <c r="M57" s="103"/>
      <c r="N57" s="1"/>
      <c r="O57" s="104"/>
      <c r="P57" s="105"/>
      <c r="Q57" s="6"/>
      <c r="R57" s="1"/>
    </row>
    <row r="58">
      <c r="A58" s="1"/>
      <c r="B58" s="76"/>
      <c r="C58" s="1"/>
      <c r="D58" s="103"/>
      <c r="E58" s="103"/>
      <c r="F58" s="1"/>
      <c r="G58" s="104"/>
      <c r="H58" s="105"/>
      <c r="I58" s="6"/>
      <c r="J58" s="16"/>
      <c r="K58" s="72"/>
      <c r="L58" s="103"/>
      <c r="M58" s="103"/>
      <c r="N58" s="1"/>
      <c r="O58" s="104"/>
      <c r="P58" s="105"/>
      <c r="Q58" s="6"/>
      <c r="R58" s="1"/>
    </row>
    <row r="59">
      <c r="A59" s="1"/>
      <c r="B59" s="76"/>
      <c r="C59" s="1"/>
      <c r="D59" s="103"/>
      <c r="E59" s="103"/>
      <c r="F59" s="1"/>
      <c r="G59" s="104"/>
      <c r="H59" s="105"/>
      <c r="I59" s="6"/>
      <c r="J59" s="16"/>
      <c r="K59" s="72"/>
      <c r="L59" s="103"/>
      <c r="M59" s="103"/>
      <c r="N59" s="1"/>
      <c r="O59" s="104"/>
      <c r="P59" s="105"/>
      <c r="Q59" s="6"/>
      <c r="R59" s="1"/>
    </row>
    <row r="60">
      <c r="A60" s="1"/>
      <c r="B60" s="76"/>
      <c r="C60" s="1"/>
      <c r="D60" s="103"/>
      <c r="E60" s="103"/>
      <c r="F60" s="1"/>
      <c r="G60" s="104"/>
      <c r="H60" s="105"/>
      <c r="I60" s="6"/>
      <c r="J60" s="16"/>
      <c r="K60" s="72"/>
      <c r="L60" s="103"/>
      <c r="M60" s="103"/>
      <c r="N60" s="1"/>
      <c r="O60" s="104"/>
      <c r="P60" s="105"/>
      <c r="Q60" s="6"/>
      <c r="R60" s="1"/>
    </row>
    <row r="61">
      <c r="A61" s="1"/>
      <c r="B61" s="76"/>
      <c r="C61" s="1"/>
      <c r="D61" s="103"/>
      <c r="E61" s="103"/>
      <c r="F61" s="1"/>
      <c r="G61" s="104"/>
      <c r="H61" s="105"/>
      <c r="I61" s="6"/>
      <c r="J61" s="16"/>
      <c r="K61" s="72"/>
      <c r="L61" s="103"/>
      <c r="M61" s="103"/>
      <c r="N61" s="1"/>
      <c r="O61" s="104"/>
      <c r="P61" s="105"/>
      <c r="Q61" s="6"/>
      <c r="R61" s="1"/>
    </row>
    <row r="62">
      <c r="A62" s="1"/>
      <c r="B62" s="8"/>
      <c r="C62" s="1"/>
      <c r="D62" s="107"/>
      <c r="E62" s="107"/>
      <c r="F62" s="1"/>
      <c r="G62" s="108"/>
      <c r="H62" s="109"/>
      <c r="I62" s="11"/>
      <c r="J62" s="16"/>
      <c r="K62" s="72"/>
      <c r="L62" s="107"/>
      <c r="M62" s="107"/>
      <c r="N62" s="1"/>
      <c r="O62" s="108"/>
      <c r="P62" s="109"/>
      <c r="Q62" s="11"/>
      <c r="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6"/>
      <c r="P63" s="16"/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6"/>
      <c r="P64" s="16"/>
      <c r="R64" s="1"/>
    </row>
  </sheetData>
  <mergeCells count="122">
    <mergeCell ref="G17:I17"/>
    <mergeCell ref="L17:M17"/>
    <mergeCell ref="D17:E17"/>
    <mergeCell ref="D19:E19"/>
    <mergeCell ref="G19:I19"/>
    <mergeCell ref="L19:M19"/>
    <mergeCell ref="H21:I21"/>
    <mergeCell ref="P21:Q21"/>
    <mergeCell ref="D22:D23"/>
    <mergeCell ref="E22:E23"/>
    <mergeCell ref="G22:G23"/>
    <mergeCell ref="H22:I23"/>
    <mergeCell ref="L22:L23"/>
    <mergeCell ref="M22:M23"/>
    <mergeCell ref="O22:O23"/>
    <mergeCell ref="P22:Q23"/>
    <mergeCell ref="D25:E25"/>
    <mergeCell ref="G25:I25"/>
    <mergeCell ref="L25:M25"/>
    <mergeCell ref="O25:Q25"/>
    <mergeCell ref="H26:I26"/>
    <mergeCell ref="P26:Q26"/>
    <mergeCell ref="H27:I27"/>
    <mergeCell ref="P27:Q27"/>
    <mergeCell ref="D28:D29"/>
    <mergeCell ref="E28:E29"/>
    <mergeCell ref="G28:G29"/>
    <mergeCell ref="H28:I29"/>
    <mergeCell ref="O19:Q19"/>
    <mergeCell ref="H20:I20"/>
    <mergeCell ref="P20:Q20"/>
    <mergeCell ref="B2:Q6"/>
    <mergeCell ref="B8:Q9"/>
    <mergeCell ref="B11:Q13"/>
    <mergeCell ref="D15:I15"/>
    <mergeCell ref="L15:Q15"/>
    <mergeCell ref="B17:B29"/>
    <mergeCell ref="O17:Q17"/>
    <mergeCell ref="D36:E36"/>
    <mergeCell ref="G36:G38"/>
    <mergeCell ref="D37:E37"/>
    <mergeCell ref="D38:E38"/>
    <mergeCell ref="H36:H38"/>
    <mergeCell ref="I36:I38"/>
    <mergeCell ref="L36:M36"/>
    <mergeCell ref="L37:M37"/>
    <mergeCell ref="G39:G41"/>
    <mergeCell ref="H39:H41"/>
    <mergeCell ref="O39:O41"/>
    <mergeCell ref="P39:P41"/>
    <mergeCell ref="Q39:Q41"/>
    <mergeCell ref="O28:O29"/>
    <mergeCell ref="P28:Q29"/>
    <mergeCell ref="O31:Q31"/>
    <mergeCell ref="O32:Q34"/>
    <mergeCell ref="O36:O38"/>
    <mergeCell ref="P36:P38"/>
    <mergeCell ref="Q36:Q38"/>
    <mergeCell ref="L28:L29"/>
    <mergeCell ref="M28:M29"/>
    <mergeCell ref="B31:B44"/>
    <mergeCell ref="G31:I31"/>
    <mergeCell ref="L31:M31"/>
    <mergeCell ref="G32:I34"/>
    <mergeCell ref="I39:I41"/>
    <mergeCell ref="L42:M42"/>
    <mergeCell ref="D42:E42"/>
    <mergeCell ref="G42:G44"/>
    <mergeCell ref="D43:E43"/>
    <mergeCell ref="D44:E44"/>
    <mergeCell ref="H46:I46"/>
    <mergeCell ref="H47:I47"/>
    <mergeCell ref="H48:I48"/>
    <mergeCell ref="H56:I56"/>
    <mergeCell ref="H57:I57"/>
    <mergeCell ref="H49:I49"/>
    <mergeCell ref="H50:I50"/>
    <mergeCell ref="H51:I51"/>
    <mergeCell ref="H52:I52"/>
    <mergeCell ref="H53:I53"/>
    <mergeCell ref="H54:I54"/>
    <mergeCell ref="H55:I55"/>
    <mergeCell ref="P57:Q57"/>
    <mergeCell ref="P60:Q60"/>
    <mergeCell ref="P53:Q53"/>
    <mergeCell ref="P54:Q54"/>
    <mergeCell ref="P55:Q55"/>
    <mergeCell ref="P56:Q56"/>
    <mergeCell ref="H58:I58"/>
    <mergeCell ref="H59:I59"/>
    <mergeCell ref="H60:I60"/>
    <mergeCell ref="D31:E31"/>
    <mergeCell ref="D39:E39"/>
    <mergeCell ref="B46:B62"/>
    <mergeCell ref="L38:M38"/>
    <mergeCell ref="L39:M39"/>
    <mergeCell ref="D40:E40"/>
    <mergeCell ref="L40:M40"/>
    <mergeCell ref="D41:E41"/>
    <mergeCell ref="L41:M41"/>
    <mergeCell ref="H42:H44"/>
    <mergeCell ref="I42:I44"/>
    <mergeCell ref="O42:O44"/>
    <mergeCell ref="P42:P44"/>
    <mergeCell ref="Q42:Q44"/>
    <mergeCell ref="L43:M43"/>
    <mergeCell ref="L44:M44"/>
    <mergeCell ref="P46:Q46"/>
    <mergeCell ref="P47:Q47"/>
    <mergeCell ref="P48:Q48"/>
    <mergeCell ref="P49:Q49"/>
    <mergeCell ref="P50:Q50"/>
    <mergeCell ref="P51:Q51"/>
    <mergeCell ref="P52:Q52"/>
    <mergeCell ref="P58:Q58"/>
    <mergeCell ref="P59:Q59"/>
    <mergeCell ref="H61:I61"/>
    <mergeCell ref="P61:Q61"/>
    <mergeCell ref="H62:I62"/>
    <mergeCell ref="P62:Q62"/>
    <mergeCell ref="P63:Q63"/>
    <mergeCell ref="P64:Q64"/>
  </mergeCells>
  <conditionalFormatting sqref="E22 H22 M22 P22:Q22 E28 H28 M28 P28:Q28">
    <cfRule type="cellIs" dxfId="0" priority="1" operator="lessThan">
      <formula>0</formula>
    </cfRule>
  </conditionalFormatting>
  <conditionalFormatting sqref="E22 H22 M22 P22:Q22 E28 H28 M28 P28:Q28">
    <cfRule type="cellIs" dxfId="1" priority="2" operator="greaterThan">
      <formula>0</formula>
    </cfRule>
  </conditionalFormatting>
  <conditionalFormatting sqref="D47:E62 G47:H62">
    <cfRule type="expression" dxfId="2" priority="3">
      <formula>COUNTIF(L$47:L$62,D47)&lt;1</formula>
    </cfRule>
  </conditionalFormatting>
  <conditionalFormatting sqref="D37:E44">
    <cfRule type="expression" dxfId="2" priority="4">
      <formula>COUNTIF(L$37:L$44,D37)&lt;1</formula>
    </cfRule>
  </conditionalFormatting>
  <conditionalFormatting sqref="L47:M62 O47:Q62">
    <cfRule type="expression" dxfId="2" priority="5">
      <formula>COUNTIF(D$47:D$62,L47)&lt;1</formula>
    </cfRule>
  </conditionalFormatting>
  <conditionalFormatting sqref="L37:L44">
    <cfRule type="expression" dxfId="2" priority="6">
      <formula>COUNTIF(D$37:D$44,L37)&lt;1</formula>
    </cfRule>
  </conditionalFormatting>
  <dataValidations>
    <dataValidation type="list" allowBlank="1" sqref="G36 O36 G39 O39 G42 O42">
      <formula1>'Data Validation'!$A$2:$A$11</formula1>
    </dataValidation>
  </dataValidations>
  <hyperlinks>
    <hyperlink display="Offer 1" location="'Analyze Your Offer'!A1" ref="D15"/>
    <hyperlink display="Offer 2" location="'Summarize Your 2nd Offer'!A1" ref="L15"/>
    <hyperlink r:id="rId1" ref="G32"/>
    <hyperlink r:id="rId2" ref="O3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110" t="s">
        <v>113</v>
      </c>
      <c r="B1" s="110" t="s">
        <v>114</v>
      </c>
    </row>
    <row r="2">
      <c r="A2" s="110" t="s">
        <v>107</v>
      </c>
      <c r="B2" s="110" t="s">
        <v>115</v>
      </c>
    </row>
    <row r="3">
      <c r="A3" s="110" t="s">
        <v>116</v>
      </c>
      <c r="B3" s="110" t="s">
        <v>117</v>
      </c>
    </row>
    <row r="4">
      <c r="A4" s="110" t="s">
        <v>108</v>
      </c>
      <c r="B4" s="110" t="s">
        <v>118</v>
      </c>
    </row>
    <row r="5">
      <c r="A5" s="110" t="s">
        <v>119</v>
      </c>
      <c r="B5" s="110" t="s">
        <v>120</v>
      </c>
    </row>
    <row r="6">
      <c r="A6" s="110" t="s">
        <v>121</v>
      </c>
      <c r="B6" s="110" t="s">
        <v>122</v>
      </c>
    </row>
    <row r="7">
      <c r="A7" s="110" t="s">
        <v>123</v>
      </c>
      <c r="B7" s="110" t="s">
        <v>124</v>
      </c>
    </row>
    <row r="8">
      <c r="A8" s="110" t="s">
        <v>125</v>
      </c>
      <c r="B8" s="110" t="s">
        <v>126</v>
      </c>
    </row>
    <row r="9">
      <c r="A9" s="110" t="s">
        <v>127</v>
      </c>
      <c r="B9" s="110" t="s">
        <v>128</v>
      </c>
    </row>
    <row r="10">
      <c r="A10" s="110" t="s">
        <v>129</v>
      </c>
      <c r="B10" s="110" t="s">
        <v>130</v>
      </c>
    </row>
    <row r="11">
      <c r="A11" s="110" t="s">
        <v>109</v>
      </c>
      <c r="B11" s="110" t="s">
        <v>131</v>
      </c>
    </row>
  </sheetData>
  <drawing r:id="rId1"/>
</worksheet>
</file>